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\CLIP4.0\3.설계\04.DB\"/>
    </mc:Choice>
  </mc:AlternateContent>
  <bookViews>
    <workbookView xWindow="-12" yWindow="168" windowWidth="13800" windowHeight="8436" tabRatio="826" activeTab="10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상점" sheetId="453" r:id="rId8"/>
    <sheet name="판매지역" sheetId="454" r:id="rId9"/>
    <sheet name="상품" sheetId="455" r:id="rId10"/>
    <sheet name="이력" sheetId="460" r:id="rId11"/>
    <sheet name="화면" sheetId="459" r:id="rId12"/>
    <sheet name="진열장" sheetId="457" r:id="rId13"/>
    <sheet name="진열" sheetId="458" r:id="rId14"/>
  </sheets>
  <definedNames>
    <definedName name="_xlnm.Print_Area" localSheetId="7">상점!$A$1:$K$65</definedName>
    <definedName name="_xlnm.Print_Area" localSheetId="9">상품!$A$1:$K$65</definedName>
    <definedName name="_xlnm.Print_Area" localSheetId="5">시퀀스목록!$A$1:$E$41</definedName>
    <definedName name="_xlnm.Print_Area" localSheetId="10">이력!$A$1:$K$65</definedName>
    <definedName name="_xlnm.Print_Area" localSheetId="4">인덱스목록!$B$2:$E$41</definedName>
    <definedName name="_xlnm.Print_Area" localSheetId="13">진열!$A$1:$K$65</definedName>
    <definedName name="_xlnm.Print_Area" localSheetId="12">진열장!$A$1:$K$65</definedName>
    <definedName name="_xlnm.Print_Area" localSheetId="3">테이블목록!$B$2:$G$205</definedName>
    <definedName name="_xlnm.Print_Area" localSheetId="8">판매지역!$A$1:$K$65</definedName>
    <definedName name="_xlnm.Print_Area" localSheetId="11">화면!$A$1:$K$65</definedName>
  </definedNames>
  <calcPr calcId="152511"/>
</workbook>
</file>

<file path=xl/calcChain.xml><?xml version="1.0" encoding="utf-8"?>
<calcChain xmlns="http://schemas.openxmlformats.org/spreadsheetml/2006/main">
  <c r="M530" i="460" l="1"/>
  <c r="M529" i="460"/>
  <c r="M528" i="460"/>
  <c r="M527" i="460"/>
  <c r="M526" i="460"/>
  <c r="M525" i="460"/>
  <c r="M524" i="460"/>
  <c r="M523" i="460"/>
  <c r="M522" i="460"/>
  <c r="M521" i="460"/>
  <c r="M520" i="460"/>
  <c r="M519" i="460"/>
  <c r="M518" i="460"/>
  <c r="M517" i="460"/>
  <c r="M516" i="460"/>
  <c r="M515" i="460"/>
  <c r="M514" i="460"/>
  <c r="M513" i="460"/>
  <c r="M512" i="460"/>
  <c r="M511" i="460"/>
  <c r="M510" i="460"/>
  <c r="M509" i="460"/>
  <c r="M508" i="460"/>
  <c r="M507" i="460"/>
  <c r="M506" i="460"/>
  <c r="M505" i="460"/>
  <c r="M504" i="460"/>
  <c r="M503" i="460"/>
  <c r="M502" i="460"/>
  <c r="M501" i="460"/>
  <c r="M500" i="460"/>
  <c r="M499" i="460"/>
  <c r="M498" i="460"/>
  <c r="M497" i="460"/>
  <c r="M496" i="460"/>
  <c r="M495" i="460"/>
  <c r="M494" i="460"/>
  <c r="M493" i="460"/>
  <c r="M492" i="460"/>
  <c r="M491" i="460"/>
  <c r="M490" i="460"/>
  <c r="M489" i="460"/>
  <c r="M488" i="460"/>
  <c r="M487" i="460"/>
  <c r="M486" i="460"/>
  <c r="M485" i="460"/>
  <c r="M484" i="460"/>
  <c r="M483" i="460"/>
  <c r="M482" i="460"/>
  <c r="M481" i="460"/>
  <c r="M480" i="460"/>
  <c r="M479" i="460"/>
  <c r="M478" i="460"/>
  <c r="M477" i="460"/>
  <c r="M476" i="460"/>
  <c r="M475" i="460"/>
  <c r="M474" i="460"/>
  <c r="M473" i="460"/>
  <c r="M472" i="460"/>
  <c r="M471" i="460"/>
  <c r="M470" i="460"/>
  <c r="M469" i="460"/>
  <c r="M468" i="460"/>
  <c r="M467" i="460"/>
  <c r="M466" i="460"/>
  <c r="M465" i="460"/>
  <c r="M464" i="460"/>
  <c r="M463" i="460"/>
  <c r="M462" i="460"/>
  <c r="M461" i="460"/>
  <c r="M460" i="460"/>
  <c r="M459" i="460"/>
  <c r="M458" i="460"/>
  <c r="M457" i="460"/>
  <c r="M456" i="460"/>
  <c r="M455" i="460"/>
  <c r="M454" i="460"/>
  <c r="M453" i="460"/>
  <c r="M452" i="460"/>
  <c r="M451" i="460"/>
  <c r="M450" i="460"/>
  <c r="M449" i="460"/>
  <c r="M448" i="460"/>
  <c r="M447" i="460"/>
  <c r="M446" i="460"/>
  <c r="M445" i="460"/>
  <c r="M444" i="460"/>
  <c r="M443" i="460"/>
  <c r="M442" i="460"/>
  <c r="M441" i="460"/>
  <c r="M440" i="460"/>
  <c r="M439" i="460"/>
  <c r="M438" i="460"/>
  <c r="M437" i="460"/>
  <c r="M436" i="460"/>
  <c r="M435" i="460"/>
  <c r="M434" i="460"/>
  <c r="M433" i="460"/>
  <c r="M432" i="460"/>
  <c r="M431" i="460"/>
  <c r="M429" i="460"/>
  <c r="M428" i="460"/>
  <c r="M427" i="460"/>
  <c r="M426" i="460"/>
  <c r="M425" i="460"/>
  <c r="M424" i="460"/>
  <c r="M423" i="460"/>
  <c r="M422" i="460"/>
  <c r="M421" i="460"/>
  <c r="M420" i="460"/>
  <c r="M419" i="460"/>
  <c r="M418" i="460"/>
  <c r="M417" i="460"/>
  <c r="M416" i="460"/>
  <c r="M415" i="460"/>
  <c r="M414" i="460"/>
  <c r="M413" i="460"/>
  <c r="M412" i="460"/>
  <c r="M411" i="460"/>
  <c r="M410" i="460"/>
  <c r="M409" i="460"/>
  <c r="M408" i="460"/>
  <c r="M407" i="460"/>
  <c r="M406" i="460"/>
  <c r="M405" i="460"/>
  <c r="M404" i="460"/>
  <c r="M403" i="460"/>
  <c r="M402" i="460"/>
  <c r="M401" i="460"/>
  <c r="M400" i="460"/>
  <c r="M399" i="460"/>
  <c r="M398" i="460"/>
  <c r="M397" i="460"/>
  <c r="M396" i="460"/>
  <c r="M395" i="460"/>
  <c r="M394" i="460"/>
  <c r="M393" i="460"/>
  <c r="M392" i="460"/>
  <c r="M391" i="460"/>
  <c r="M390" i="460"/>
  <c r="M389" i="460"/>
  <c r="M388" i="460"/>
  <c r="M387" i="460"/>
  <c r="M386" i="460"/>
  <c r="M385" i="460"/>
  <c r="M384" i="460"/>
  <c r="M383" i="460"/>
  <c r="M382" i="460"/>
  <c r="M381" i="460"/>
  <c r="M380" i="460"/>
  <c r="M379" i="460"/>
  <c r="M378" i="460"/>
  <c r="M377" i="460"/>
  <c r="M376" i="460"/>
  <c r="M375" i="460"/>
  <c r="M374" i="460"/>
  <c r="M373" i="460"/>
  <c r="M372" i="460"/>
  <c r="M371" i="460"/>
  <c r="M370" i="460"/>
  <c r="M369" i="460"/>
  <c r="M368" i="460"/>
  <c r="M367" i="460"/>
  <c r="M366" i="460"/>
  <c r="M365" i="460"/>
  <c r="M364" i="460"/>
  <c r="M363" i="460"/>
  <c r="M362" i="460"/>
  <c r="M361" i="460"/>
  <c r="M360" i="460"/>
  <c r="M359" i="460"/>
  <c r="M358" i="460"/>
  <c r="M357" i="460"/>
  <c r="M356" i="460"/>
  <c r="M355" i="460"/>
  <c r="M354" i="460"/>
  <c r="M353" i="460"/>
  <c r="M352" i="460"/>
  <c r="M351" i="460"/>
  <c r="M350" i="460"/>
  <c r="M349" i="460"/>
  <c r="M348" i="460"/>
  <c r="M347" i="460"/>
  <c r="M346" i="460"/>
  <c r="M345" i="460"/>
  <c r="M344" i="460"/>
  <c r="M343" i="460"/>
  <c r="M342" i="460"/>
  <c r="M341" i="460"/>
  <c r="M340" i="460"/>
  <c r="M339" i="460"/>
  <c r="M338" i="460"/>
  <c r="M337" i="460"/>
  <c r="M336" i="460"/>
  <c r="M335" i="460"/>
  <c r="M334" i="460"/>
  <c r="M333" i="460"/>
  <c r="M332" i="460"/>
  <c r="M331" i="460"/>
  <c r="M330" i="460"/>
  <c r="M329" i="460"/>
  <c r="M326" i="460"/>
  <c r="M324" i="460"/>
  <c r="M323" i="460"/>
  <c r="M322" i="460"/>
  <c r="M321" i="460"/>
  <c r="M320" i="460"/>
  <c r="M319" i="460"/>
  <c r="M318" i="460"/>
  <c r="M317" i="460"/>
  <c r="M316" i="460"/>
  <c r="M315" i="460"/>
  <c r="M314" i="460"/>
  <c r="M313" i="460"/>
  <c r="M312" i="460"/>
  <c r="M311" i="460"/>
  <c r="M310" i="460"/>
  <c r="M309" i="460"/>
  <c r="M308" i="460"/>
  <c r="M307" i="460"/>
  <c r="M306" i="460"/>
  <c r="M305" i="460"/>
  <c r="M304" i="460"/>
  <c r="M303" i="460"/>
  <c r="M302" i="460"/>
  <c r="M301" i="460"/>
  <c r="M300" i="460"/>
  <c r="M299" i="460"/>
  <c r="M298" i="460"/>
  <c r="M297" i="460"/>
  <c r="M296" i="460"/>
  <c r="M295" i="460"/>
  <c r="M294" i="460"/>
  <c r="M293" i="460"/>
  <c r="M292" i="460"/>
  <c r="M291" i="460"/>
  <c r="M290" i="460"/>
  <c r="M289" i="460"/>
  <c r="M288" i="460"/>
  <c r="M287" i="460"/>
  <c r="M286" i="460"/>
  <c r="M285" i="460"/>
  <c r="M284" i="460"/>
  <c r="M283" i="460"/>
  <c r="M282" i="460"/>
  <c r="M281" i="460"/>
  <c r="M280" i="460"/>
  <c r="M279" i="460"/>
  <c r="M278" i="460"/>
  <c r="M277" i="460"/>
  <c r="M276" i="460"/>
  <c r="M275" i="460"/>
  <c r="M274" i="460"/>
  <c r="M273" i="460"/>
  <c r="M272" i="460"/>
  <c r="M271" i="460"/>
  <c r="M270" i="460"/>
  <c r="M269" i="460"/>
  <c r="M268" i="460"/>
  <c r="M267" i="460"/>
  <c r="M266" i="460"/>
  <c r="M265" i="460"/>
  <c r="M264" i="460"/>
  <c r="M263" i="460"/>
  <c r="M262" i="460"/>
  <c r="M261" i="460"/>
  <c r="M260" i="460"/>
  <c r="M259" i="460"/>
  <c r="M258" i="460"/>
  <c r="M257" i="460"/>
  <c r="M256" i="460"/>
  <c r="M255" i="460"/>
  <c r="M254" i="460"/>
  <c r="M253" i="460"/>
  <c r="M252" i="460"/>
  <c r="M251" i="460"/>
  <c r="M250" i="460"/>
  <c r="M249" i="460"/>
  <c r="M248" i="460"/>
  <c r="M247" i="460"/>
  <c r="M246" i="460"/>
  <c r="M245" i="460"/>
  <c r="M244" i="460"/>
  <c r="M243" i="460"/>
  <c r="M242" i="460"/>
  <c r="M241" i="460"/>
  <c r="M240" i="460"/>
  <c r="M239" i="460"/>
  <c r="M238" i="460"/>
  <c r="M237" i="460"/>
  <c r="M236" i="460"/>
  <c r="M235" i="460"/>
  <c r="M234" i="460"/>
  <c r="M233" i="460"/>
  <c r="M232" i="460"/>
  <c r="M231" i="460"/>
  <c r="M230" i="460"/>
  <c r="M229" i="460"/>
  <c r="M228" i="460"/>
  <c r="M227" i="460"/>
  <c r="M226" i="460"/>
  <c r="M225" i="460"/>
  <c r="M222" i="460"/>
  <c r="M221" i="460"/>
  <c r="M220" i="460"/>
  <c r="M219" i="460"/>
  <c r="M218" i="460"/>
  <c r="M217" i="460"/>
  <c r="M216" i="460"/>
  <c r="M215" i="460"/>
  <c r="M214" i="460"/>
  <c r="M213" i="460"/>
  <c r="M212" i="460"/>
  <c r="M211" i="460"/>
  <c r="M210" i="460"/>
  <c r="M209" i="460"/>
  <c r="M208" i="460"/>
  <c r="M207" i="460"/>
  <c r="M206" i="460"/>
  <c r="M205" i="460"/>
  <c r="M204" i="460"/>
  <c r="M203" i="460"/>
  <c r="M202" i="460"/>
  <c r="M201" i="460"/>
  <c r="M200" i="460"/>
  <c r="M199" i="460"/>
  <c r="M198" i="460"/>
  <c r="M197" i="460"/>
  <c r="M196" i="460"/>
  <c r="M195" i="460"/>
  <c r="M194" i="460"/>
  <c r="M193" i="460"/>
  <c r="M192" i="460"/>
  <c r="M191" i="460"/>
  <c r="M190" i="460"/>
  <c r="M189" i="460"/>
  <c r="M188" i="460"/>
  <c r="M187" i="460"/>
  <c r="M186" i="460"/>
  <c r="M185" i="460"/>
  <c r="M184" i="460"/>
  <c r="M183" i="460"/>
  <c r="M182" i="460"/>
  <c r="M181" i="460"/>
  <c r="M180" i="460"/>
  <c r="M179" i="460"/>
  <c r="M178" i="460"/>
  <c r="M177" i="460"/>
  <c r="M176" i="460"/>
  <c r="M175" i="460"/>
  <c r="M174" i="460"/>
  <c r="M173" i="460"/>
  <c r="M172" i="460"/>
  <c r="M171" i="460"/>
  <c r="M170" i="460"/>
  <c r="M169" i="460"/>
  <c r="M168" i="460"/>
  <c r="M167" i="460"/>
  <c r="M166" i="460"/>
  <c r="M165" i="460"/>
  <c r="M164" i="460"/>
  <c r="M163" i="460"/>
  <c r="M162" i="460"/>
  <c r="M161" i="460"/>
  <c r="M160" i="460"/>
  <c r="M159" i="460"/>
  <c r="M158" i="460"/>
  <c r="M157" i="460"/>
  <c r="M156" i="460"/>
  <c r="M155" i="460"/>
  <c r="M154" i="460"/>
  <c r="M153" i="460"/>
  <c r="M152" i="460"/>
  <c r="M151" i="460"/>
  <c r="M150" i="460"/>
  <c r="M149" i="460"/>
  <c r="M148" i="460"/>
  <c r="M147" i="460"/>
  <c r="M146" i="460"/>
  <c r="M145" i="460"/>
  <c r="M144" i="460"/>
  <c r="M143" i="460"/>
  <c r="M142" i="460"/>
  <c r="M141" i="460"/>
  <c r="M140" i="460"/>
  <c r="M139" i="460"/>
  <c r="M138" i="460"/>
  <c r="M137" i="460"/>
  <c r="M136" i="460"/>
  <c r="M135" i="460"/>
  <c r="M134" i="460"/>
  <c r="M133" i="460"/>
  <c r="M132" i="460"/>
  <c r="M131" i="460"/>
  <c r="M130" i="460"/>
  <c r="M129" i="460"/>
  <c r="M128" i="460"/>
  <c r="M127" i="460"/>
  <c r="M126" i="460"/>
  <c r="M125" i="460"/>
  <c r="M124" i="460"/>
  <c r="M123" i="460"/>
  <c r="M122" i="460"/>
  <c r="M121" i="460"/>
  <c r="M118" i="460"/>
  <c r="M117" i="460"/>
  <c r="M116" i="460"/>
  <c r="M115" i="460"/>
  <c r="M114" i="460"/>
  <c r="M113" i="460"/>
  <c r="M112" i="460"/>
  <c r="M111" i="460"/>
  <c r="M110" i="460"/>
  <c r="M109" i="460"/>
  <c r="M108" i="460"/>
  <c r="V106" i="460"/>
  <c r="M106" i="460"/>
  <c r="V105" i="460"/>
  <c r="M105" i="460"/>
  <c r="V104" i="460"/>
  <c r="M104" i="460"/>
  <c r="V103" i="460"/>
  <c r="M103" i="460"/>
  <c r="V102" i="460"/>
  <c r="M102" i="460"/>
  <c r="V101" i="460"/>
  <c r="M101" i="460"/>
  <c r="V100" i="460"/>
  <c r="M100" i="460"/>
  <c r="V99" i="460"/>
  <c r="M99" i="460"/>
  <c r="V98" i="460"/>
  <c r="M98" i="460"/>
  <c r="V97" i="460"/>
  <c r="M97" i="460"/>
  <c r="V96" i="460"/>
  <c r="M96" i="460"/>
  <c r="V95" i="460"/>
  <c r="M95" i="460"/>
  <c r="V94" i="460"/>
  <c r="M94" i="460"/>
  <c r="V93" i="460"/>
  <c r="M93" i="460"/>
  <c r="V92" i="460"/>
  <c r="M92" i="460"/>
  <c r="V91" i="460"/>
  <c r="M91" i="460"/>
  <c r="V90" i="460"/>
  <c r="M90" i="460"/>
  <c r="V89" i="460"/>
  <c r="M89" i="460"/>
  <c r="V88" i="460"/>
  <c r="M88" i="460"/>
  <c r="V87" i="460"/>
  <c r="M87" i="460"/>
  <c r="V86" i="460"/>
  <c r="M86" i="460"/>
  <c r="V85" i="460"/>
  <c r="M85" i="460"/>
  <c r="V84" i="460"/>
  <c r="M84" i="460"/>
  <c r="V83" i="460"/>
  <c r="M83" i="460"/>
  <c r="V82" i="460"/>
  <c r="M82" i="460"/>
  <c r="V81" i="460"/>
  <c r="M81" i="460"/>
  <c r="V80" i="460"/>
  <c r="M80" i="460"/>
  <c r="V79" i="460"/>
  <c r="M79" i="460"/>
  <c r="V78" i="460"/>
  <c r="M78" i="460"/>
  <c r="V77" i="460"/>
  <c r="M77" i="460"/>
  <c r="V76" i="460"/>
  <c r="M76" i="460"/>
  <c r="V75" i="460"/>
  <c r="M75" i="460"/>
  <c r="V74" i="460"/>
  <c r="M74" i="460"/>
  <c r="V73" i="460"/>
  <c r="M73" i="460"/>
  <c r="V72" i="460"/>
  <c r="M72" i="460"/>
  <c r="V71" i="460"/>
  <c r="M71" i="460"/>
  <c r="V70" i="460"/>
  <c r="M70" i="460"/>
  <c r="V69" i="460"/>
  <c r="M69" i="460"/>
  <c r="V68" i="460"/>
  <c r="M68" i="460"/>
  <c r="V67" i="460"/>
  <c r="M67" i="460"/>
  <c r="V66" i="460"/>
  <c r="M66" i="460"/>
  <c r="V65" i="460"/>
  <c r="M65" i="460"/>
  <c r="V64" i="460"/>
  <c r="M64" i="460"/>
  <c r="V63" i="460"/>
  <c r="M63" i="460"/>
  <c r="V62" i="460"/>
  <c r="M62" i="460"/>
  <c r="V61" i="460"/>
  <c r="M61" i="460"/>
  <c r="V60" i="460"/>
  <c r="M60" i="460"/>
  <c r="V59" i="460"/>
  <c r="M59" i="460"/>
  <c r="V58" i="460"/>
  <c r="M58" i="460"/>
  <c r="V57" i="460"/>
  <c r="M57" i="460"/>
  <c r="V56" i="460"/>
  <c r="M56" i="460"/>
  <c r="V55" i="460"/>
  <c r="M55" i="460"/>
  <c r="V54" i="460"/>
  <c r="M54" i="460"/>
  <c r="V53" i="460"/>
  <c r="M53" i="460"/>
  <c r="V52" i="460"/>
  <c r="M52" i="460"/>
  <c r="V51" i="460"/>
  <c r="M51" i="460"/>
  <c r="V50" i="460"/>
  <c r="M50" i="460"/>
  <c r="V49" i="460"/>
  <c r="M49" i="460"/>
  <c r="V48" i="460"/>
  <c r="M48" i="460"/>
  <c r="V47" i="460"/>
  <c r="M47" i="460"/>
  <c r="V46" i="460"/>
  <c r="M46" i="460"/>
  <c r="V45" i="460"/>
  <c r="M45" i="460"/>
  <c r="V44" i="460"/>
  <c r="M44" i="460"/>
  <c r="V43" i="460"/>
  <c r="M43" i="460"/>
  <c r="V42" i="460"/>
  <c r="M42" i="460"/>
  <c r="V41" i="460"/>
  <c r="M41" i="460"/>
  <c r="V40" i="460"/>
  <c r="M40" i="460"/>
  <c r="V39" i="460"/>
  <c r="M39" i="460"/>
  <c r="V38" i="460"/>
  <c r="M38" i="460"/>
  <c r="V37" i="460"/>
  <c r="M37" i="460"/>
  <c r="V36" i="460"/>
  <c r="M36" i="460"/>
  <c r="V35" i="460"/>
  <c r="M35" i="460"/>
  <c r="V34" i="460"/>
  <c r="M34" i="460"/>
  <c r="V33" i="460"/>
  <c r="M33" i="460"/>
  <c r="V32" i="460"/>
  <c r="M32" i="460"/>
  <c r="V31" i="460"/>
  <c r="M31" i="460"/>
  <c r="V30" i="460"/>
  <c r="M30" i="460"/>
  <c r="V29" i="460"/>
  <c r="M29" i="460"/>
  <c r="V28" i="460"/>
  <c r="M28" i="460"/>
  <c r="V27" i="460"/>
  <c r="M27" i="460"/>
  <c r="V26" i="460"/>
  <c r="M26" i="460"/>
  <c r="V25" i="460"/>
  <c r="M25" i="460"/>
  <c r="V24" i="460"/>
  <c r="M24" i="460"/>
  <c r="V23" i="460"/>
  <c r="M23" i="460"/>
  <c r="V22" i="460"/>
  <c r="M22" i="460"/>
  <c r="V21" i="460"/>
  <c r="M21" i="460"/>
  <c r="V20" i="460"/>
  <c r="M20" i="460"/>
  <c r="V19" i="460"/>
  <c r="M19" i="460"/>
  <c r="V18" i="460"/>
  <c r="M18" i="460"/>
  <c r="V17" i="460"/>
  <c r="M17" i="460"/>
  <c r="V16" i="460"/>
  <c r="M16" i="460"/>
  <c r="V15" i="460"/>
  <c r="M15" i="460"/>
  <c r="V14" i="460"/>
  <c r="M14" i="460"/>
  <c r="V13" i="460"/>
  <c r="M13" i="460"/>
  <c r="V12" i="460"/>
  <c r="M12" i="460"/>
  <c r="V11" i="460"/>
  <c r="M11" i="460"/>
  <c r="V10" i="460"/>
  <c r="M10" i="460"/>
  <c r="V9" i="460"/>
  <c r="M9" i="460"/>
  <c r="V8" i="460"/>
  <c r="M8" i="460"/>
  <c r="V7" i="460"/>
  <c r="M7" i="460"/>
  <c r="V6" i="460"/>
  <c r="M6" i="460"/>
  <c r="M4" i="460"/>
  <c r="C2" i="460"/>
  <c r="M530" i="459"/>
  <c r="M529" i="459"/>
  <c r="M528" i="459"/>
  <c r="M527" i="459"/>
  <c r="M526" i="459"/>
  <c r="M525" i="459"/>
  <c r="M524" i="459"/>
  <c r="M523" i="459"/>
  <c r="M522" i="459"/>
  <c r="M521" i="459"/>
  <c r="M520" i="459"/>
  <c r="M519" i="459"/>
  <c r="M518" i="459"/>
  <c r="M517" i="459"/>
  <c r="M516" i="459"/>
  <c r="M515" i="459"/>
  <c r="M514" i="459"/>
  <c r="M513" i="459"/>
  <c r="M512" i="459"/>
  <c r="M511" i="459"/>
  <c r="M510" i="459"/>
  <c r="M509" i="459"/>
  <c r="M508" i="459"/>
  <c r="M507" i="459"/>
  <c r="M506" i="459"/>
  <c r="M505" i="459"/>
  <c r="M504" i="459"/>
  <c r="M503" i="459"/>
  <c r="M502" i="459"/>
  <c r="M501" i="459"/>
  <c r="M500" i="459"/>
  <c r="M499" i="459"/>
  <c r="M498" i="459"/>
  <c r="M497" i="459"/>
  <c r="M496" i="459"/>
  <c r="M495" i="459"/>
  <c r="M494" i="459"/>
  <c r="M493" i="459"/>
  <c r="M492" i="459"/>
  <c r="M491" i="459"/>
  <c r="M490" i="459"/>
  <c r="M489" i="459"/>
  <c r="M488" i="459"/>
  <c r="M487" i="459"/>
  <c r="M486" i="459"/>
  <c r="M485" i="459"/>
  <c r="M484" i="459"/>
  <c r="M483" i="459"/>
  <c r="M482" i="459"/>
  <c r="M481" i="459"/>
  <c r="M480" i="459"/>
  <c r="M479" i="459"/>
  <c r="M478" i="459"/>
  <c r="M477" i="459"/>
  <c r="M476" i="459"/>
  <c r="M475" i="459"/>
  <c r="M474" i="459"/>
  <c r="M473" i="459"/>
  <c r="M472" i="459"/>
  <c r="M471" i="459"/>
  <c r="M470" i="459"/>
  <c r="M469" i="459"/>
  <c r="M468" i="459"/>
  <c r="M467" i="459"/>
  <c r="M466" i="459"/>
  <c r="M465" i="459"/>
  <c r="M464" i="459"/>
  <c r="M463" i="459"/>
  <c r="M462" i="459"/>
  <c r="M461" i="459"/>
  <c r="M460" i="459"/>
  <c r="M459" i="459"/>
  <c r="M458" i="459"/>
  <c r="M457" i="459"/>
  <c r="M456" i="459"/>
  <c r="M455" i="459"/>
  <c r="M454" i="459"/>
  <c r="M453" i="459"/>
  <c r="M452" i="459"/>
  <c r="M451" i="459"/>
  <c r="M450" i="459"/>
  <c r="M449" i="459"/>
  <c r="M448" i="459"/>
  <c r="M447" i="459"/>
  <c r="M446" i="459"/>
  <c r="M445" i="459"/>
  <c r="M444" i="459"/>
  <c r="M443" i="459"/>
  <c r="M442" i="459"/>
  <c r="M441" i="459"/>
  <c r="M440" i="459"/>
  <c r="M439" i="459"/>
  <c r="M438" i="459"/>
  <c r="M437" i="459"/>
  <c r="M436" i="459"/>
  <c r="M435" i="459"/>
  <c r="M434" i="459"/>
  <c r="M433" i="459"/>
  <c r="M432" i="459"/>
  <c r="M431" i="459"/>
  <c r="M429" i="459"/>
  <c r="M428" i="459"/>
  <c r="M427" i="459"/>
  <c r="M426" i="459"/>
  <c r="M425" i="459"/>
  <c r="M424" i="459"/>
  <c r="M423" i="459"/>
  <c r="M422" i="459"/>
  <c r="M421" i="459"/>
  <c r="M420" i="459"/>
  <c r="M419" i="459"/>
  <c r="M418" i="459"/>
  <c r="M417" i="459"/>
  <c r="M416" i="459"/>
  <c r="M415" i="459"/>
  <c r="M414" i="459"/>
  <c r="M413" i="459"/>
  <c r="M412" i="459"/>
  <c r="M411" i="459"/>
  <c r="M410" i="459"/>
  <c r="M409" i="459"/>
  <c r="M408" i="459"/>
  <c r="M407" i="459"/>
  <c r="M406" i="459"/>
  <c r="M405" i="459"/>
  <c r="M404" i="459"/>
  <c r="M403" i="459"/>
  <c r="M402" i="459"/>
  <c r="M401" i="459"/>
  <c r="M400" i="459"/>
  <c r="M399" i="459"/>
  <c r="M398" i="459"/>
  <c r="M397" i="459"/>
  <c r="M396" i="459"/>
  <c r="M395" i="459"/>
  <c r="M394" i="459"/>
  <c r="M393" i="459"/>
  <c r="M392" i="459"/>
  <c r="M391" i="459"/>
  <c r="M390" i="459"/>
  <c r="M389" i="459"/>
  <c r="M388" i="459"/>
  <c r="M387" i="459"/>
  <c r="M386" i="459"/>
  <c r="M385" i="459"/>
  <c r="M384" i="459"/>
  <c r="M383" i="459"/>
  <c r="M382" i="459"/>
  <c r="M381" i="459"/>
  <c r="M380" i="459"/>
  <c r="M379" i="459"/>
  <c r="M378" i="459"/>
  <c r="M377" i="459"/>
  <c r="M376" i="459"/>
  <c r="M375" i="459"/>
  <c r="M374" i="459"/>
  <c r="M373" i="459"/>
  <c r="M372" i="459"/>
  <c r="M371" i="459"/>
  <c r="M370" i="459"/>
  <c r="M369" i="459"/>
  <c r="M368" i="459"/>
  <c r="M367" i="459"/>
  <c r="M366" i="459"/>
  <c r="M365" i="459"/>
  <c r="M364" i="459"/>
  <c r="M363" i="459"/>
  <c r="M362" i="459"/>
  <c r="M361" i="459"/>
  <c r="M360" i="459"/>
  <c r="M359" i="459"/>
  <c r="M358" i="459"/>
  <c r="M357" i="459"/>
  <c r="M356" i="459"/>
  <c r="M355" i="459"/>
  <c r="M354" i="459"/>
  <c r="M353" i="459"/>
  <c r="M352" i="459"/>
  <c r="M351" i="459"/>
  <c r="M350" i="459"/>
  <c r="M349" i="459"/>
  <c r="M348" i="459"/>
  <c r="M347" i="459"/>
  <c r="M346" i="459"/>
  <c r="M345" i="459"/>
  <c r="M344" i="459"/>
  <c r="M343" i="459"/>
  <c r="M342" i="459"/>
  <c r="M341" i="459"/>
  <c r="M340" i="459"/>
  <c r="M339" i="459"/>
  <c r="M338" i="459"/>
  <c r="M337" i="459"/>
  <c r="M336" i="459"/>
  <c r="M335" i="459"/>
  <c r="M334" i="459"/>
  <c r="M333" i="459"/>
  <c r="M332" i="459"/>
  <c r="M331" i="459"/>
  <c r="M330" i="459"/>
  <c r="M329" i="459"/>
  <c r="M326" i="459"/>
  <c r="M324" i="459"/>
  <c r="M323" i="459"/>
  <c r="M322" i="459"/>
  <c r="M321" i="459"/>
  <c r="M320" i="459"/>
  <c r="M319" i="459"/>
  <c r="M318" i="459"/>
  <c r="M317" i="459"/>
  <c r="M316" i="459"/>
  <c r="M315" i="459"/>
  <c r="M314" i="459"/>
  <c r="M313" i="459"/>
  <c r="M312" i="459"/>
  <c r="M311" i="459"/>
  <c r="M310" i="459"/>
  <c r="M309" i="459"/>
  <c r="M308" i="459"/>
  <c r="M307" i="459"/>
  <c r="M306" i="459"/>
  <c r="M305" i="459"/>
  <c r="M304" i="459"/>
  <c r="M303" i="459"/>
  <c r="M302" i="459"/>
  <c r="M301" i="459"/>
  <c r="M300" i="459"/>
  <c r="M299" i="459"/>
  <c r="M298" i="459"/>
  <c r="M297" i="459"/>
  <c r="M296" i="459"/>
  <c r="M295" i="459"/>
  <c r="M294" i="459"/>
  <c r="M293" i="459"/>
  <c r="M292" i="459"/>
  <c r="M291" i="459"/>
  <c r="M290" i="459"/>
  <c r="M289" i="459"/>
  <c r="M288" i="459"/>
  <c r="M287" i="459"/>
  <c r="M286" i="459"/>
  <c r="M285" i="459"/>
  <c r="M284" i="459"/>
  <c r="M283" i="459"/>
  <c r="M282" i="459"/>
  <c r="M281" i="459"/>
  <c r="M280" i="459"/>
  <c r="M279" i="459"/>
  <c r="M278" i="459"/>
  <c r="M277" i="459"/>
  <c r="M276" i="459"/>
  <c r="M275" i="459"/>
  <c r="M274" i="459"/>
  <c r="M273" i="459"/>
  <c r="M272" i="459"/>
  <c r="M271" i="459"/>
  <c r="M270" i="459"/>
  <c r="M269" i="459"/>
  <c r="M268" i="459"/>
  <c r="M267" i="459"/>
  <c r="M266" i="459"/>
  <c r="M265" i="459"/>
  <c r="M264" i="459"/>
  <c r="M263" i="459"/>
  <c r="M262" i="459"/>
  <c r="M261" i="459"/>
  <c r="M260" i="459"/>
  <c r="M259" i="459"/>
  <c r="M258" i="459"/>
  <c r="M257" i="459"/>
  <c r="M256" i="459"/>
  <c r="M255" i="459"/>
  <c r="M254" i="459"/>
  <c r="M253" i="459"/>
  <c r="M252" i="459"/>
  <c r="M251" i="459"/>
  <c r="M250" i="459"/>
  <c r="M249" i="459"/>
  <c r="M248" i="459"/>
  <c r="M247" i="459"/>
  <c r="M246" i="459"/>
  <c r="M245" i="459"/>
  <c r="M244" i="459"/>
  <c r="M243" i="459"/>
  <c r="M242" i="459"/>
  <c r="M241" i="459"/>
  <c r="M240" i="459"/>
  <c r="M239" i="459"/>
  <c r="M238" i="459"/>
  <c r="M237" i="459"/>
  <c r="M236" i="459"/>
  <c r="M235" i="459"/>
  <c r="M234" i="459"/>
  <c r="M233" i="459"/>
  <c r="M232" i="459"/>
  <c r="M231" i="459"/>
  <c r="M230" i="459"/>
  <c r="M229" i="459"/>
  <c r="M228" i="459"/>
  <c r="M227" i="459"/>
  <c r="M226" i="459"/>
  <c r="M225" i="459"/>
  <c r="M222" i="459"/>
  <c r="M221" i="459"/>
  <c r="M220" i="459"/>
  <c r="M219" i="459"/>
  <c r="M218" i="459"/>
  <c r="M217" i="459"/>
  <c r="M216" i="459"/>
  <c r="M215" i="459"/>
  <c r="M214" i="459"/>
  <c r="M213" i="459"/>
  <c r="M212" i="459"/>
  <c r="M211" i="459"/>
  <c r="M210" i="459"/>
  <c r="M209" i="459"/>
  <c r="M208" i="459"/>
  <c r="M207" i="459"/>
  <c r="M206" i="459"/>
  <c r="M205" i="459"/>
  <c r="M204" i="459"/>
  <c r="M203" i="459"/>
  <c r="M202" i="459"/>
  <c r="M201" i="459"/>
  <c r="M200" i="459"/>
  <c r="M199" i="459"/>
  <c r="M198" i="459"/>
  <c r="M197" i="459"/>
  <c r="M196" i="459"/>
  <c r="M195" i="459"/>
  <c r="M194" i="459"/>
  <c r="M193" i="459"/>
  <c r="M192" i="459"/>
  <c r="M191" i="459"/>
  <c r="M190" i="459"/>
  <c r="M189" i="459"/>
  <c r="M188" i="459"/>
  <c r="M187" i="459"/>
  <c r="M186" i="459"/>
  <c r="M185" i="459"/>
  <c r="M184" i="459"/>
  <c r="M183" i="459"/>
  <c r="M182" i="459"/>
  <c r="M181" i="459"/>
  <c r="M180" i="459"/>
  <c r="M179" i="459"/>
  <c r="M178" i="459"/>
  <c r="M177" i="459"/>
  <c r="M176" i="459"/>
  <c r="M175" i="459"/>
  <c r="M174" i="459"/>
  <c r="M173" i="459"/>
  <c r="M172" i="459"/>
  <c r="M171" i="459"/>
  <c r="M170" i="459"/>
  <c r="M169" i="459"/>
  <c r="M168" i="459"/>
  <c r="M167" i="459"/>
  <c r="M166" i="459"/>
  <c r="M165" i="459"/>
  <c r="M164" i="459"/>
  <c r="M163" i="459"/>
  <c r="M162" i="459"/>
  <c r="M161" i="459"/>
  <c r="M160" i="459"/>
  <c r="M159" i="459"/>
  <c r="M158" i="459"/>
  <c r="M157" i="459"/>
  <c r="M156" i="459"/>
  <c r="M155" i="459"/>
  <c r="M154" i="459"/>
  <c r="M153" i="459"/>
  <c r="M152" i="459"/>
  <c r="M151" i="459"/>
  <c r="M150" i="459"/>
  <c r="M149" i="459"/>
  <c r="M148" i="459"/>
  <c r="M147" i="459"/>
  <c r="M146" i="459"/>
  <c r="M145" i="459"/>
  <c r="M144" i="459"/>
  <c r="M143" i="459"/>
  <c r="M142" i="459"/>
  <c r="M141" i="459"/>
  <c r="M140" i="459"/>
  <c r="M139" i="459"/>
  <c r="M138" i="459"/>
  <c r="M137" i="459"/>
  <c r="M136" i="459"/>
  <c r="M135" i="459"/>
  <c r="M134" i="459"/>
  <c r="M133" i="459"/>
  <c r="M132" i="459"/>
  <c r="M131" i="459"/>
  <c r="M130" i="459"/>
  <c r="M129" i="459"/>
  <c r="M128" i="459"/>
  <c r="M127" i="459"/>
  <c r="M126" i="459"/>
  <c r="M125" i="459"/>
  <c r="M124" i="459"/>
  <c r="M123" i="459"/>
  <c r="M122" i="459"/>
  <c r="M121" i="459"/>
  <c r="M118" i="459"/>
  <c r="M117" i="459"/>
  <c r="M116" i="459"/>
  <c r="M115" i="459"/>
  <c r="M114" i="459"/>
  <c r="M113" i="459"/>
  <c r="M112" i="459"/>
  <c r="M111" i="459"/>
  <c r="M110" i="459"/>
  <c r="M109" i="459"/>
  <c r="M108" i="459"/>
  <c r="V106" i="459"/>
  <c r="M106" i="459"/>
  <c r="V105" i="459"/>
  <c r="M105" i="459"/>
  <c r="V104" i="459"/>
  <c r="M104" i="459"/>
  <c r="V103" i="459"/>
  <c r="M103" i="459"/>
  <c r="V102" i="459"/>
  <c r="M102" i="459"/>
  <c r="V101" i="459"/>
  <c r="M101" i="459"/>
  <c r="V100" i="459"/>
  <c r="M100" i="459"/>
  <c r="V99" i="459"/>
  <c r="M99" i="459"/>
  <c r="V98" i="459"/>
  <c r="M98" i="459"/>
  <c r="V97" i="459"/>
  <c r="M97" i="459"/>
  <c r="V96" i="459"/>
  <c r="M96" i="459"/>
  <c r="V95" i="459"/>
  <c r="M95" i="459"/>
  <c r="V94" i="459"/>
  <c r="M94" i="459"/>
  <c r="V93" i="459"/>
  <c r="M93" i="459"/>
  <c r="V92" i="459"/>
  <c r="M92" i="459"/>
  <c r="V91" i="459"/>
  <c r="M91" i="459"/>
  <c r="V90" i="459"/>
  <c r="M90" i="459"/>
  <c r="V89" i="459"/>
  <c r="M89" i="459"/>
  <c r="V88" i="459"/>
  <c r="M88" i="459"/>
  <c r="V87" i="459"/>
  <c r="M87" i="459"/>
  <c r="V86" i="459"/>
  <c r="M86" i="459"/>
  <c r="V85" i="459"/>
  <c r="M85" i="459"/>
  <c r="V84" i="459"/>
  <c r="M84" i="459"/>
  <c r="V83" i="459"/>
  <c r="M83" i="459"/>
  <c r="V82" i="459"/>
  <c r="M82" i="459"/>
  <c r="V81" i="459"/>
  <c r="M81" i="459"/>
  <c r="V80" i="459"/>
  <c r="M80" i="459"/>
  <c r="V79" i="459"/>
  <c r="M79" i="459"/>
  <c r="V78" i="459"/>
  <c r="M78" i="459"/>
  <c r="V77" i="459"/>
  <c r="M77" i="459"/>
  <c r="V76" i="459"/>
  <c r="M76" i="459"/>
  <c r="V75" i="459"/>
  <c r="M75" i="459"/>
  <c r="V74" i="459"/>
  <c r="M74" i="459"/>
  <c r="V73" i="459"/>
  <c r="M73" i="459"/>
  <c r="V72" i="459"/>
  <c r="M72" i="459"/>
  <c r="V71" i="459"/>
  <c r="M71" i="459"/>
  <c r="V70" i="459"/>
  <c r="M70" i="459"/>
  <c r="V69" i="459"/>
  <c r="M69" i="459"/>
  <c r="V68" i="459"/>
  <c r="M68" i="459"/>
  <c r="V67" i="459"/>
  <c r="M67" i="459"/>
  <c r="V66" i="459"/>
  <c r="M66" i="459"/>
  <c r="V65" i="459"/>
  <c r="M65" i="459"/>
  <c r="V64" i="459"/>
  <c r="M64" i="459"/>
  <c r="V63" i="459"/>
  <c r="M63" i="459"/>
  <c r="V62" i="459"/>
  <c r="M62" i="459"/>
  <c r="V61" i="459"/>
  <c r="M61" i="459"/>
  <c r="V60" i="459"/>
  <c r="M60" i="459"/>
  <c r="V59" i="459"/>
  <c r="M59" i="459"/>
  <c r="V58" i="459"/>
  <c r="M58" i="459"/>
  <c r="V57" i="459"/>
  <c r="M57" i="459"/>
  <c r="V56" i="459"/>
  <c r="M56" i="459"/>
  <c r="V55" i="459"/>
  <c r="M55" i="459"/>
  <c r="V54" i="459"/>
  <c r="M54" i="459"/>
  <c r="V53" i="459"/>
  <c r="M53" i="459"/>
  <c r="V52" i="459"/>
  <c r="M52" i="459"/>
  <c r="V51" i="459"/>
  <c r="M51" i="459"/>
  <c r="V50" i="459"/>
  <c r="M50" i="459"/>
  <c r="V49" i="459"/>
  <c r="M49" i="459"/>
  <c r="V48" i="459"/>
  <c r="M48" i="459"/>
  <c r="V47" i="459"/>
  <c r="M47" i="459"/>
  <c r="V46" i="459"/>
  <c r="M46" i="459"/>
  <c r="V45" i="459"/>
  <c r="M45" i="459"/>
  <c r="V44" i="459"/>
  <c r="M44" i="459"/>
  <c r="V43" i="459"/>
  <c r="M43" i="459"/>
  <c r="V42" i="459"/>
  <c r="M42" i="459"/>
  <c r="V41" i="459"/>
  <c r="M41" i="459"/>
  <c r="V40" i="459"/>
  <c r="M40" i="459"/>
  <c r="V39" i="459"/>
  <c r="M39" i="459"/>
  <c r="V38" i="459"/>
  <c r="M38" i="459"/>
  <c r="V37" i="459"/>
  <c r="M37" i="459"/>
  <c r="V36" i="459"/>
  <c r="M36" i="459"/>
  <c r="V35" i="459"/>
  <c r="M35" i="459"/>
  <c r="V34" i="459"/>
  <c r="M34" i="459"/>
  <c r="V33" i="459"/>
  <c r="M33" i="459"/>
  <c r="V32" i="459"/>
  <c r="M32" i="459"/>
  <c r="V31" i="459"/>
  <c r="M31" i="459"/>
  <c r="V30" i="459"/>
  <c r="M30" i="459"/>
  <c r="V29" i="459"/>
  <c r="M29" i="459"/>
  <c r="V28" i="459"/>
  <c r="M28" i="459"/>
  <c r="V27" i="459"/>
  <c r="M27" i="459"/>
  <c r="V26" i="459"/>
  <c r="M26" i="459"/>
  <c r="V25" i="459"/>
  <c r="M25" i="459"/>
  <c r="V24" i="459"/>
  <c r="M24" i="459"/>
  <c r="V23" i="459"/>
  <c r="M23" i="459"/>
  <c r="V22" i="459"/>
  <c r="M22" i="459"/>
  <c r="V21" i="459"/>
  <c r="M21" i="459"/>
  <c r="V20" i="459"/>
  <c r="M20" i="459"/>
  <c r="V19" i="459"/>
  <c r="M19" i="459"/>
  <c r="V18" i="459"/>
  <c r="M18" i="459"/>
  <c r="V17" i="459"/>
  <c r="M17" i="459"/>
  <c r="V16" i="459"/>
  <c r="M16" i="459"/>
  <c r="V15" i="459"/>
  <c r="M15" i="459"/>
  <c r="V14" i="459"/>
  <c r="M14" i="459"/>
  <c r="V13" i="459"/>
  <c r="M13" i="459"/>
  <c r="V12" i="459"/>
  <c r="M12" i="459"/>
  <c r="V11" i="459"/>
  <c r="M11" i="459"/>
  <c r="V10" i="459"/>
  <c r="M10" i="459"/>
  <c r="V9" i="459"/>
  <c r="M9" i="459"/>
  <c r="V8" i="459"/>
  <c r="M8" i="459"/>
  <c r="V7" i="459"/>
  <c r="M7" i="459"/>
  <c r="V6" i="459"/>
  <c r="M6" i="459"/>
  <c r="M4" i="459"/>
  <c r="C2" i="459"/>
  <c r="M530" i="458"/>
  <c r="M529" i="458"/>
  <c r="M528" i="458"/>
  <c r="M527" i="458"/>
  <c r="M526" i="458"/>
  <c r="M525" i="458"/>
  <c r="M524" i="458"/>
  <c r="M523" i="458"/>
  <c r="M522" i="458"/>
  <c r="M521" i="458"/>
  <c r="M520" i="458"/>
  <c r="M519" i="458"/>
  <c r="M518" i="458"/>
  <c r="M517" i="458"/>
  <c r="M516" i="458"/>
  <c r="M515" i="458"/>
  <c r="M514" i="458"/>
  <c r="M513" i="458"/>
  <c r="M512" i="458"/>
  <c r="M511" i="458"/>
  <c r="M510" i="458"/>
  <c r="M509" i="458"/>
  <c r="M508" i="458"/>
  <c r="M507" i="458"/>
  <c r="M506" i="458"/>
  <c r="M505" i="458"/>
  <c r="M504" i="458"/>
  <c r="M503" i="458"/>
  <c r="M502" i="458"/>
  <c r="M501" i="458"/>
  <c r="M500" i="458"/>
  <c r="M499" i="458"/>
  <c r="M498" i="458"/>
  <c r="M497" i="458"/>
  <c r="M496" i="458"/>
  <c r="M495" i="458"/>
  <c r="M494" i="458"/>
  <c r="M493" i="458"/>
  <c r="M492" i="458"/>
  <c r="M491" i="458"/>
  <c r="M490" i="458"/>
  <c r="M489" i="458"/>
  <c r="M488" i="458"/>
  <c r="M487" i="458"/>
  <c r="M486" i="458"/>
  <c r="M485" i="458"/>
  <c r="M484" i="458"/>
  <c r="M483" i="458"/>
  <c r="M482" i="458"/>
  <c r="M481" i="458"/>
  <c r="M480" i="458"/>
  <c r="M479" i="458"/>
  <c r="M478" i="458"/>
  <c r="M477" i="458"/>
  <c r="M476" i="458"/>
  <c r="M475" i="458"/>
  <c r="M474" i="458"/>
  <c r="M473" i="458"/>
  <c r="M472" i="458"/>
  <c r="M471" i="458"/>
  <c r="M470" i="458"/>
  <c r="M469" i="458"/>
  <c r="M468" i="458"/>
  <c r="M467" i="458"/>
  <c r="M466" i="458"/>
  <c r="M465" i="458"/>
  <c r="M464" i="458"/>
  <c r="M463" i="458"/>
  <c r="M462" i="458"/>
  <c r="M461" i="458"/>
  <c r="M460" i="458"/>
  <c r="M459" i="458"/>
  <c r="M458" i="458"/>
  <c r="M457" i="458"/>
  <c r="M456" i="458"/>
  <c r="M455" i="458"/>
  <c r="M454" i="458"/>
  <c r="M453" i="458"/>
  <c r="M452" i="458"/>
  <c r="M451" i="458"/>
  <c r="M450" i="458"/>
  <c r="M449" i="458"/>
  <c r="M448" i="458"/>
  <c r="M447" i="458"/>
  <c r="M446" i="458"/>
  <c r="M445" i="458"/>
  <c r="M444" i="458"/>
  <c r="M443" i="458"/>
  <c r="M442" i="458"/>
  <c r="M441" i="458"/>
  <c r="M440" i="458"/>
  <c r="M439" i="458"/>
  <c r="M438" i="458"/>
  <c r="M437" i="458"/>
  <c r="M436" i="458"/>
  <c r="M435" i="458"/>
  <c r="M434" i="458"/>
  <c r="M433" i="458"/>
  <c r="M432" i="458"/>
  <c r="M431" i="458"/>
  <c r="M429" i="458"/>
  <c r="M428" i="458"/>
  <c r="M427" i="458"/>
  <c r="M426" i="458"/>
  <c r="M425" i="458"/>
  <c r="M424" i="458"/>
  <c r="M423" i="458"/>
  <c r="M422" i="458"/>
  <c r="M421" i="458"/>
  <c r="M420" i="458"/>
  <c r="M419" i="458"/>
  <c r="M418" i="458"/>
  <c r="M417" i="458"/>
  <c r="M416" i="458"/>
  <c r="M415" i="458"/>
  <c r="M414" i="458"/>
  <c r="M413" i="458"/>
  <c r="M412" i="458"/>
  <c r="M411" i="458"/>
  <c r="M410" i="458"/>
  <c r="M409" i="458"/>
  <c r="M408" i="458"/>
  <c r="M407" i="458"/>
  <c r="M406" i="458"/>
  <c r="M405" i="458"/>
  <c r="M404" i="458"/>
  <c r="M403" i="458"/>
  <c r="M402" i="458"/>
  <c r="M401" i="458"/>
  <c r="M400" i="458"/>
  <c r="M399" i="458"/>
  <c r="M398" i="458"/>
  <c r="M397" i="458"/>
  <c r="M396" i="458"/>
  <c r="M395" i="458"/>
  <c r="M394" i="458"/>
  <c r="M393" i="458"/>
  <c r="M392" i="458"/>
  <c r="M391" i="458"/>
  <c r="M390" i="458"/>
  <c r="M389" i="458"/>
  <c r="M388" i="458"/>
  <c r="M387" i="458"/>
  <c r="M386" i="458"/>
  <c r="M385" i="458"/>
  <c r="M384" i="458"/>
  <c r="M383" i="458"/>
  <c r="M382" i="458"/>
  <c r="M381" i="458"/>
  <c r="M380" i="458"/>
  <c r="M379" i="458"/>
  <c r="M378" i="458"/>
  <c r="M377" i="458"/>
  <c r="M376" i="458"/>
  <c r="M375" i="458"/>
  <c r="M374" i="458"/>
  <c r="M373" i="458"/>
  <c r="M372" i="458"/>
  <c r="M371" i="458"/>
  <c r="M370" i="458"/>
  <c r="M369" i="458"/>
  <c r="M368" i="458"/>
  <c r="M367" i="458"/>
  <c r="M366" i="458"/>
  <c r="M365" i="458"/>
  <c r="M364" i="458"/>
  <c r="M363" i="458"/>
  <c r="M362" i="458"/>
  <c r="M361" i="458"/>
  <c r="M360" i="458"/>
  <c r="M359" i="458"/>
  <c r="M358" i="458"/>
  <c r="M357" i="458"/>
  <c r="M356" i="458"/>
  <c r="M355" i="458"/>
  <c r="M354" i="458"/>
  <c r="M353" i="458"/>
  <c r="M352" i="458"/>
  <c r="M351" i="458"/>
  <c r="M350" i="458"/>
  <c r="M349" i="458"/>
  <c r="M348" i="458"/>
  <c r="M347" i="458"/>
  <c r="M346" i="458"/>
  <c r="M345" i="458"/>
  <c r="M344" i="458"/>
  <c r="M343" i="458"/>
  <c r="M342" i="458"/>
  <c r="M341" i="458"/>
  <c r="M340" i="458"/>
  <c r="M339" i="458"/>
  <c r="M338" i="458"/>
  <c r="M337" i="458"/>
  <c r="M336" i="458"/>
  <c r="M335" i="458"/>
  <c r="M334" i="458"/>
  <c r="M333" i="458"/>
  <c r="M332" i="458"/>
  <c r="M331" i="458"/>
  <c r="M330" i="458"/>
  <c r="M329" i="458"/>
  <c r="M326" i="458"/>
  <c r="M324" i="458"/>
  <c r="M323" i="458"/>
  <c r="M322" i="458"/>
  <c r="M321" i="458"/>
  <c r="M320" i="458"/>
  <c r="M319" i="458"/>
  <c r="M318" i="458"/>
  <c r="M317" i="458"/>
  <c r="M316" i="458"/>
  <c r="M315" i="458"/>
  <c r="M314" i="458"/>
  <c r="M313" i="458"/>
  <c r="M312" i="458"/>
  <c r="M311" i="458"/>
  <c r="M310" i="458"/>
  <c r="M309" i="458"/>
  <c r="M308" i="458"/>
  <c r="M307" i="458"/>
  <c r="M306" i="458"/>
  <c r="M305" i="458"/>
  <c r="M304" i="458"/>
  <c r="M303" i="458"/>
  <c r="M302" i="458"/>
  <c r="M301" i="458"/>
  <c r="M300" i="458"/>
  <c r="M299" i="458"/>
  <c r="M298" i="458"/>
  <c r="M297" i="458"/>
  <c r="M296" i="458"/>
  <c r="M295" i="458"/>
  <c r="M294" i="458"/>
  <c r="M293" i="458"/>
  <c r="M292" i="458"/>
  <c r="M291" i="458"/>
  <c r="M290" i="458"/>
  <c r="M289" i="458"/>
  <c r="M288" i="458"/>
  <c r="M287" i="458"/>
  <c r="M286" i="458"/>
  <c r="M285" i="458"/>
  <c r="M284" i="458"/>
  <c r="M283" i="458"/>
  <c r="M282" i="458"/>
  <c r="M281" i="458"/>
  <c r="M280" i="458"/>
  <c r="M279" i="458"/>
  <c r="M278" i="458"/>
  <c r="M277" i="458"/>
  <c r="M276" i="458"/>
  <c r="M275" i="458"/>
  <c r="M274" i="458"/>
  <c r="M273" i="458"/>
  <c r="M272" i="458"/>
  <c r="M271" i="458"/>
  <c r="M270" i="458"/>
  <c r="M269" i="458"/>
  <c r="M268" i="458"/>
  <c r="M267" i="458"/>
  <c r="M266" i="458"/>
  <c r="M265" i="458"/>
  <c r="M264" i="458"/>
  <c r="M263" i="458"/>
  <c r="M262" i="458"/>
  <c r="M261" i="458"/>
  <c r="M260" i="458"/>
  <c r="M259" i="458"/>
  <c r="M258" i="458"/>
  <c r="M257" i="458"/>
  <c r="M256" i="458"/>
  <c r="M255" i="458"/>
  <c r="M254" i="458"/>
  <c r="M253" i="458"/>
  <c r="M252" i="458"/>
  <c r="M251" i="458"/>
  <c r="M250" i="458"/>
  <c r="M249" i="458"/>
  <c r="M248" i="458"/>
  <c r="M247" i="458"/>
  <c r="M246" i="458"/>
  <c r="M245" i="458"/>
  <c r="M244" i="458"/>
  <c r="M243" i="458"/>
  <c r="M242" i="458"/>
  <c r="M241" i="458"/>
  <c r="M240" i="458"/>
  <c r="M239" i="458"/>
  <c r="M238" i="458"/>
  <c r="M237" i="458"/>
  <c r="M236" i="458"/>
  <c r="M235" i="458"/>
  <c r="M234" i="458"/>
  <c r="M233" i="458"/>
  <c r="M232" i="458"/>
  <c r="M231" i="458"/>
  <c r="M230" i="458"/>
  <c r="M229" i="458"/>
  <c r="M228" i="458"/>
  <c r="M227" i="458"/>
  <c r="M226" i="458"/>
  <c r="M225" i="458"/>
  <c r="M222" i="458"/>
  <c r="M221" i="458"/>
  <c r="M220" i="458"/>
  <c r="M219" i="458"/>
  <c r="M218" i="458"/>
  <c r="M217" i="458"/>
  <c r="M216" i="458"/>
  <c r="M215" i="458"/>
  <c r="M214" i="458"/>
  <c r="M213" i="458"/>
  <c r="M212" i="458"/>
  <c r="M211" i="458"/>
  <c r="M210" i="458"/>
  <c r="M209" i="458"/>
  <c r="M208" i="458"/>
  <c r="M207" i="458"/>
  <c r="M206" i="458"/>
  <c r="M205" i="458"/>
  <c r="M204" i="458"/>
  <c r="M203" i="458"/>
  <c r="M202" i="458"/>
  <c r="M201" i="458"/>
  <c r="M200" i="458"/>
  <c r="M199" i="458"/>
  <c r="M198" i="458"/>
  <c r="M197" i="458"/>
  <c r="M196" i="458"/>
  <c r="M195" i="458"/>
  <c r="M194" i="458"/>
  <c r="M193" i="458"/>
  <c r="M192" i="458"/>
  <c r="M191" i="458"/>
  <c r="M190" i="458"/>
  <c r="M189" i="458"/>
  <c r="M188" i="458"/>
  <c r="M187" i="458"/>
  <c r="M186" i="458"/>
  <c r="M185" i="458"/>
  <c r="M184" i="458"/>
  <c r="M183" i="458"/>
  <c r="M182" i="458"/>
  <c r="M181" i="458"/>
  <c r="M180" i="458"/>
  <c r="M179" i="458"/>
  <c r="M178" i="458"/>
  <c r="M177" i="458"/>
  <c r="M176" i="458"/>
  <c r="M175" i="458"/>
  <c r="M174" i="458"/>
  <c r="M173" i="458"/>
  <c r="M172" i="458"/>
  <c r="M171" i="458"/>
  <c r="M170" i="458"/>
  <c r="M169" i="458"/>
  <c r="M168" i="458"/>
  <c r="M167" i="458"/>
  <c r="M166" i="458"/>
  <c r="M165" i="458"/>
  <c r="M164" i="458"/>
  <c r="M163" i="458"/>
  <c r="M162" i="458"/>
  <c r="M161" i="458"/>
  <c r="M160" i="458"/>
  <c r="M159" i="458"/>
  <c r="M158" i="458"/>
  <c r="M157" i="458"/>
  <c r="M156" i="458"/>
  <c r="M155" i="458"/>
  <c r="M154" i="458"/>
  <c r="M153" i="458"/>
  <c r="M152" i="458"/>
  <c r="M151" i="458"/>
  <c r="M150" i="458"/>
  <c r="M149" i="458"/>
  <c r="M148" i="458"/>
  <c r="M147" i="458"/>
  <c r="M146" i="458"/>
  <c r="M145" i="458"/>
  <c r="M144" i="458"/>
  <c r="M143" i="458"/>
  <c r="M142" i="458"/>
  <c r="M141" i="458"/>
  <c r="M140" i="458"/>
  <c r="M139" i="458"/>
  <c r="M138" i="458"/>
  <c r="M137" i="458"/>
  <c r="M136" i="458"/>
  <c r="M135" i="458"/>
  <c r="M134" i="458"/>
  <c r="M133" i="458"/>
  <c r="M132" i="458"/>
  <c r="M131" i="458"/>
  <c r="M130" i="458"/>
  <c r="M129" i="458"/>
  <c r="M128" i="458"/>
  <c r="M127" i="458"/>
  <c r="M126" i="458"/>
  <c r="M125" i="458"/>
  <c r="M124" i="458"/>
  <c r="M123" i="458"/>
  <c r="M122" i="458"/>
  <c r="M121" i="458"/>
  <c r="M118" i="458"/>
  <c r="M117" i="458"/>
  <c r="M116" i="458"/>
  <c r="M115" i="458"/>
  <c r="M114" i="458"/>
  <c r="M113" i="458"/>
  <c r="M112" i="458"/>
  <c r="M111" i="458"/>
  <c r="M110" i="458"/>
  <c r="M109" i="458"/>
  <c r="M108" i="458"/>
  <c r="V106" i="458"/>
  <c r="M106" i="458"/>
  <c r="V105" i="458"/>
  <c r="M105" i="458"/>
  <c r="V104" i="458"/>
  <c r="M104" i="458"/>
  <c r="V103" i="458"/>
  <c r="M103" i="458"/>
  <c r="V102" i="458"/>
  <c r="M102" i="458"/>
  <c r="V101" i="458"/>
  <c r="M101" i="458"/>
  <c r="V100" i="458"/>
  <c r="M100" i="458"/>
  <c r="V99" i="458"/>
  <c r="M99" i="458"/>
  <c r="V98" i="458"/>
  <c r="M98" i="458"/>
  <c r="V97" i="458"/>
  <c r="M97" i="458"/>
  <c r="V96" i="458"/>
  <c r="M96" i="458"/>
  <c r="V95" i="458"/>
  <c r="M95" i="458"/>
  <c r="V94" i="458"/>
  <c r="M94" i="458"/>
  <c r="V93" i="458"/>
  <c r="M93" i="458"/>
  <c r="V92" i="458"/>
  <c r="M92" i="458"/>
  <c r="V91" i="458"/>
  <c r="M91" i="458"/>
  <c r="V90" i="458"/>
  <c r="M90" i="458"/>
  <c r="V89" i="458"/>
  <c r="M89" i="458"/>
  <c r="V88" i="458"/>
  <c r="M88" i="458"/>
  <c r="V87" i="458"/>
  <c r="M87" i="458"/>
  <c r="V86" i="458"/>
  <c r="M86" i="458"/>
  <c r="V85" i="458"/>
  <c r="M85" i="458"/>
  <c r="V84" i="458"/>
  <c r="M84" i="458"/>
  <c r="V83" i="458"/>
  <c r="M83" i="458"/>
  <c r="V82" i="458"/>
  <c r="M82" i="458"/>
  <c r="V81" i="458"/>
  <c r="M81" i="458"/>
  <c r="V80" i="458"/>
  <c r="M80" i="458"/>
  <c r="V79" i="458"/>
  <c r="M79" i="458"/>
  <c r="V78" i="458"/>
  <c r="M78" i="458"/>
  <c r="V77" i="458"/>
  <c r="M77" i="458"/>
  <c r="V76" i="458"/>
  <c r="M76" i="458"/>
  <c r="V75" i="458"/>
  <c r="M75" i="458"/>
  <c r="V74" i="458"/>
  <c r="M74" i="458"/>
  <c r="V73" i="458"/>
  <c r="M73" i="458"/>
  <c r="V72" i="458"/>
  <c r="M72" i="458"/>
  <c r="V71" i="458"/>
  <c r="M71" i="458"/>
  <c r="V70" i="458"/>
  <c r="M70" i="458"/>
  <c r="V69" i="458"/>
  <c r="M69" i="458"/>
  <c r="V68" i="458"/>
  <c r="M68" i="458"/>
  <c r="V67" i="458"/>
  <c r="M67" i="458"/>
  <c r="V66" i="458"/>
  <c r="M66" i="458"/>
  <c r="V65" i="458"/>
  <c r="M65" i="458"/>
  <c r="V64" i="458"/>
  <c r="M64" i="458"/>
  <c r="V63" i="458"/>
  <c r="M63" i="458"/>
  <c r="V62" i="458"/>
  <c r="M62" i="458"/>
  <c r="V61" i="458"/>
  <c r="M61" i="458"/>
  <c r="V60" i="458"/>
  <c r="M60" i="458"/>
  <c r="V59" i="458"/>
  <c r="M59" i="458"/>
  <c r="V58" i="458"/>
  <c r="M58" i="458"/>
  <c r="V57" i="458"/>
  <c r="M57" i="458"/>
  <c r="V56" i="458"/>
  <c r="M56" i="458"/>
  <c r="V55" i="458"/>
  <c r="M55" i="458"/>
  <c r="V54" i="458"/>
  <c r="M54" i="458"/>
  <c r="V53" i="458"/>
  <c r="M53" i="458"/>
  <c r="V52" i="458"/>
  <c r="M52" i="458"/>
  <c r="V51" i="458"/>
  <c r="M51" i="458"/>
  <c r="V50" i="458"/>
  <c r="M50" i="458"/>
  <c r="V49" i="458"/>
  <c r="M49" i="458"/>
  <c r="V48" i="458"/>
  <c r="M48" i="458"/>
  <c r="V47" i="458"/>
  <c r="M47" i="458"/>
  <c r="V46" i="458"/>
  <c r="M46" i="458"/>
  <c r="V45" i="458"/>
  <c r="M45" i="458"/>
  <c r="V44" i="458"/>
  <c r="M44" i="458"/>
  <c r="V43" i="458"/>
  <c r="M43" i="458"/>
  <c r="V42" i="458"/>
  <c r="M42" i="458"/>
  <c r="V41" i="458"/>
  <c r="M41" i="458"/>
  <c r="V40" i="458"/>
  <c r="M40" i="458"/>
  <c r="V39" i="458"/>
  <c r="M39" i="458"/>
  <c r="V38" i="458"/>
  <c r="M38" i="458"/>
  <c r="V37" i="458"/>
  <c r="M37" i="458"/>
  <c r="V36" i="458"/>
  <c r="M36" i="458"/>
  <c r="V35" i="458"/>
  <c r="M35" i="458"/>
  <c r="V34" i="458"/>
  <c r="M34" i="458"/>
  <c r="V33" i="458"/>
  <c r="M33" i="458"/>
  <c r="V32" i="458"/>
  <c r="M32" i="458"/>
  <c r="V31" i="458"/>
  <c r="M31" i="458"/>
  <c r="V30" i="458"/>
  <c r="M30" i="458"/>
  <c r="V29" i="458"/>
  <c r="M29" i="458"/>
  <c r="V28" i="458"/>
  <c r="M28" i="458"/>
  <c r="V27" i="458"/>
  <c r="M27" i="458"/>
  <c r="V26" i="458"/>
  <c r="M26" i="458"/>
  <c r="V25" i="458"/>
  <c r="M25" i="458"/>
  <c r="V24" i="458"/>
  <c r="M24" i="458"/>
  <c r="V23" i="458"/>
  <c r="M23" i="458"/>
  <c r="V22" i="458"/>
  <c r="M22" i="458"/>
  <c r="V21" i="458"/>
  <c r="M21" i="458"/>
  <c r="V20" i="458"/>
  <c r="M20" i="458"/>
  <c r="V19" i="458"/>
  <c r="M19" i="458"/>
  <c r="V18" i="458"/>
  <c r="M18" i="458"/>
  <c r="V17" i="458"/>
  <c r="M17" i="458"/>
  <c r="V16" i="458"/>
  <c r="M16" i="458"/>
  <c r="V15" i="458"/>
  <c r="M15" i="458"/>
  <c r="V14" i="458"/>
  <c r="M14" i="458"/>
  <c r="V13" i="458"/>
  <c r="M13" i="458"/>
  <c r="V12" i="458"/>
  <c r="M12" i="458"/>
  <c r="V11" i="458"/>
  <c r="M11" i="458"/>
  <c r="V10" i="458"/>
  <c r="M10" i="458"/>
  <c r="V9" i="458"/>
  <c r="M9" i="458"/>
  <c r="V8" i="458"/>
  <c r="M8" i="458"/>
  <c r="V7" i="458"/>
  <c r="M7" i="458"/>
  <c r="V6" i="458"/>
  <c r="M6" i="458"/>
  <c r="M4" i="458"/>
  <c r="C2" i="458"/>
  <c r="M530" i="457"/>
  <c r="M529" i="457"/>
  <c r="M528" i="457"/>
  <c r="M527" i="457"/>
  <c r="M526" i="457"/>
  <c r="M525" i="457"/>
  <c r="M524" i="457"/>
  <c r="M523" i="457"/>
  <c r="M522" i="457"/>
  <c r="M521" i="457"/>
  <c r="M520" i="457"/>
  <c r="M519" i="457"/>
  <c r="M518" i="457"/>
  <c r="M517" i="457"/>
  <c r="M516" i="457"/>
  <c r="M515" i="457"/>
  <c r="M514" i="457"/>
  <c r="M513" i="457"/>
  <c r="M512" i="457"/>
  <c r="M511" i="457"/>
  <c r="M510" i="457"/>
  <c r="M509" i="457"/>
  <c r="M508" i="457"/>
  <c r="M507" i="457"/>
  <c r="M506" i="457"/>
  <c r="M505" i="457"/>
  <c r="M504" i="457"/>
  <c r="M503" i="457"/>
  <c r="M502" i="457"/>
  <c r="M501" i="457"/>
  <c r="M500" i="457"/>
  <c r="M499" i="457"/>
  <c r="M498" i="457"/>
  <c r="M497" i="457"/>
  <c r="M496" i="457"/>
  <c r="M495" i="457"/>
  <c r="M494" i="457"/>
  <c r="M493" i="457"/>
  <c r="M492" i="457"/>
  <c r="M491" i="457"/>
  <c r="M490" i="457"/>
  <c r="M489" i="457"/>
  <c r="M488" i="457"/>
  <c r="M487" i="457"/>
  <c r="M486" i="457"/>
  <c r="M485" i="457"/>
  <c r="M484" i="457"/>
  <c r="M483" i="457"/>
  <c r="M482" i="457"/>
  <c r="M481" i="457"/>
  <c r="M480" i="457"/>
  <c r="M479" i="457"/>
  <c r="M478" i="457"/>
  <c r="M477" i="457"/>
  <c r="M476" i="457"/>
  <c r="M475" i="457"/>
  <c r="M474" i="457"/>
  <c r="M473" i="457"/>
  <c r="M472" i="457"/>
  <c r="M471" i="457"/>
  <c r="M470" i="457"/>
  <c r="M469" i="457"/>
  <c r="M468" i="457"/>
  <c r="M467" i="457"/>
  <c r="M466" i="457"/>
  <c r="M465" i="457"/>
  <c r="M464" i="457"/>
  <c r="M463" i="457"/>
  <c r="M462" i="457"/>
  <c r="M461" i="457"/>
  <c r="M460" i="457"/>
  <c r="M459" i="457"/>
  <c r="M458" i="457"/>
  <c r="M457" i="457"/>
  <c r="M456" i="457"/>
  <c r="M455" i="457"/>
  <c r="M454" i="457"/>
  <c r="M453" i="457"/>
  <c r="M452" i="457"/>
  <c r="M451" i="457"/>
  <c r="M450" i="457"/>
  <c r="M449" i="457"/>
  <c r="M448" i="457"/>
  <c r="M447" i="457"/>
  <c r="M446" i="457"/>
  <c r="M445" i="457"/>
  <c r="M444" i="457"/>
  <c r="M443" i="457"/>
  <c r="M442" i="457"/>
  <c r="M441" i="457"/>
  <c r="M440" i="457"/>
  <c r="M439" i="457"/>
  <c r="M438" i="457"/>
  <c r="M437" i="457"/>
  <c r="M436" i="457"/>
  <c r="M435" i="457"/>
  <c r="M434" i="457"/>
  <c r="M433" i="457"/>
  <c r="M432" i="457"/>
  <c r="M431" i="457"/>
  <c r="M429" i="457"/>
  <c r="M428" i="457"/>
  <c r="M427" i="457"/>
  <c r="M426" i="457"/>
  <c r="M425" i="457"/>
  <c r="M424" i="457"/>
  <c r="M423" i="457"/>
  <c r="M422" i="457"/>
  <c r="M421" i="457"/>
  <c r="M420" i="457"/>
  <c r="M419" i="457"/>
  <c r="M418" i="457"/>
  <c r="M417" i="457"/>
  <c r="M416" i="457"/>
  <c r="M415" i="457"/>
  <c r="M414" i="457"/>
  <c r="M413" i="457"/>
  <c r="M412" i="457"/>
  <c r="M411" i="457"/>
  <c r="M410" i="457"/>
  <c r="M409" i="457"/>
  <c r="M408" i="457"/>
  <c r="M407" i="457"/>
  <c r="M406" i="457"/>
  <c r="M405" i="457"/>
  <c r="M404" i="457"/>
  <c r="M403" i="457"/>
  <c r="M402" i="457"/>
  <c r="M401" i="457"/>
  <c r="M400" i="457"/>
  <c r="M399" i="457"/>
  <c r="M398" i="457"/>
  <c r="M397" i="457"/>
  <c r="M396" i="457"/>
  <c r="M395" i="457"/>
  <c r="M394" i="457"/>
  <c r="M393" i="457"/>
  <c r="M392" i="457"/>
  <c r="M391" i="457"/>
  <c r="M390" i="457"/>
  <c r="M389" i="457"/>
  <c r="M388" i="457"/>
  <c r="M387" i="457"/>
  <c r="M386" i="457"/>
  <c r="M385" i="457"/>
  <c r="M384" i="457"/>
  <c r="M383" i="457"/>
  <c r="M382" i="457"/>
  <c r="M381" i="457"/>
  <c r="M380" i="457"/>
  <c r="M379" i="457"/>
  <c r="M378" i="457"/>
  <c r="M377" i="457"/>
  <c r="M376" i="457"/>
  <c r="M375" i="457"/>
  <c r="M374" i="457"/>
  <c r="M373" i="457"/>
  <c r="M372" i="457"/>
  <c r="M371" i="457"/>
  <c r="M370" i="457"/>
  <c r="M369" i="457"/>
  <c r="M368" i="457"/>
  <c r="M367" i="457"/>
  <c r="M366" i="457"/>
  <c r="M365" i="457"/>
  <c r="M364" i="457"/>
  <c r="M363" i="457"/>
  <c r="M362" i="457"/>
  <c r="M361" i="457"/>
  <c r="M360" i="457"/>
  <c r="M359" i="457"/>
  <c r="M358" i="457"/>
  <c r="M357" i="457"/>
  <c r="M356" i="457"/>
  <c r="M355" i="457"/>
  <c r="M354" i="457"/>
  <c r="M353" i="457"/>
  <c r="M352" i="457"/>
  <c r="M351" i="457"/>
  <c r="M350" i="457"/>
  <c r="M349" i="457"/>
  <c r="M348" i="457"/>
  <c r="M347" i="457"/>
  <c r="M346" i="457"/>
  <c r="M345" i="457"/>
  <c r="M344" i="457"/>
  <c r="M343" i="457"/>
  <c r="M342" i="457"/>
  <c r="M341" i="457"/>
  <c r="M340" i="457"/>
  <c r="M339" i="457"/>
  <c r="M338" i="457"/>
  <c r="M337" i="457"/>
  <c r="M336" i="457"/>
  <c r="M335" i="457"/>
  <c r="M334" i="457"/>
  <c r="M333" i="457"/>
  <c r="M332" i="457"/>
  <c r="M331" i="457"/>
  <c r="M330" i="457"/>
  <c r="M329" i="457"/>
  <c r="M326" i="457"/>
  <c r="M324" i="457"/>
  <c r="M323" i="457"/>
  <c r="M322" i="457"/>
  <c r="M321" i="457"/>
  <c r="M320" i="457"/>
  <c r="M319" i="457"/>
  <c r="M318" i="457"/>
  <c r="M317" i="457"/>
  <c r="M316" i="457"/>
  <c r="M315" i="457"/>
  <c r="M314" i="457"/>
  <c r="M313" i="457"/>
  <c r="M312" i="457"/>
  <c r="M311" i="457"/>
  <c r="M310" i="457"/>
  <c r="M309" i="457"/>
  <c r="M308" i="457"/>
  <c r="M307" i="457"/>
  <c r="M306" i="457"/>
  <c r="M305" i="457"/>
  <c r="M304" i="457"/>
  <c r="M303" i="457"/>
  <c r="M302" i="457"/>
  <c r="M301" i="457"/>
  <c r="M300" i="457"/>
  <c r="M299" i="457"/>
  <c r="M298" i="457"/>
  <c r="M297" i="457"/>
  <c r="M296" i="457"/>
  <c r="M295" i="457"/>
  <c r="M294" i="457"/>
  <c r="M293" i="457"/>
  <c r="M292" i="457"/>
  <c r="M291" i="457"/>
  <c r="M290" i="457"/>
  <c r="M289" i="457"/>
  <c r="M288" i="457"/>
  <c r="M287" i="457"/>
  <c r="M286" i="457"/>
  <c r="M285" i="457"/>
  <c r="M284" i="457"/>
  <c r="M283" i="457"/>
  <c r="M282" i="457"/>
  <c r="M281" i="457"/>
  <c r="M280" i="457"/>
  <c r="M279" i="457"/>
  <c r="M278" i="457"/>
  <c r="M277" i="457"/>
  <c r="M276" i="457"/>
  <c r="M275" i="457"/>
  <c r="M274" i="457"/>
  <c r="M273" i="457"/>
  <c r="M272" i="457"/>
  <c r="M271" i="457"/>
  <c r="M270" i="457"/>
  <c r="M269" i="457"/>
  <c r="M268" i="457"/>
  <c r="M267" i="457"/>
  <c r="M266" i="457"/>
  <c r="M265" i="457"/>
  <c r="M264" i="457"/>
  <c r="M263" i="457"/>
  <c r="M262" i="457"/>
  <c r="M261" i="457"/>
  <c r="M260" i="457"/>
  <c r="M259" i="457"/>
  <c r="M258" i="457"/>
  <c r="M257" i="457"/>
  <c r="M256" i="457"/>
  <c r="M255" i="457"/>
  <c r="M254" i="457"/>
  <c r="M253" i="457"/>
  <c r="M252" i="457"/>
  <c r="M251" i="457"/>
  <c r="M250" i="457"/>
  <c r="M249" i="457"/>
  <c r="M248" i="457"/>
  <c r="M247" i="457"/>
  <c r="M246" i="457"/>
  <c r="M245" i="457"/>
  <c r="M244" i="457"/>
  <c r="M243" i="457"/>
  <c r="M242" i="457"/>
  <c r="M241" i="457"/>
  <c r="M240" i="457"/>
  <c r="M239" i="457"/>
  <c r="M238" i="457"/>
  <c r="M237" i="457"/>
  <c r="M236" i="457"/>
  <c r="M235" i="457"/>
  <c r="M234" i="457"/>
  <c r="M233" i="457"/>
  <c r="M232" i="457"/>
  <c r="M231" i="457"/>
  <c r="M230" i="457"/>
  <c r="M229" i="457"/>
  <c r="M228" i="457"/>
  <c r="M227" i="457"/>
  <c r="M226" i="457"/>
  <c r="M225" i="457"/>
  <c r="M222" i="457"/>
  <c r="M221" i="457"/>
  <c r="M220" i="457"/>
  <c r="M219" i="457"/>
  <c r="M218" i="457"/>
  <c r="M217" i="457"/>
  <c r="M216" i="457"/>
  <c r="M215" i="457"/>
  <c r="M214" i="457"/>
  <c r="M213" i="457"/>
  <c r="M212" i="457"/>
  <c r="M211" i="457"/>
  <c r="M210" i="457"/>
  <c r="M209" i="457"/>
  <c r="M208" i="457"/>
  <c r="M207" i="457"/>
  <c r="M206" i="457"/>
  <c r="M205" i="457"/>
  <c r="M204" i="457"/>
  <c r="M203" i="457"/>
  <c r="M202" i="457"/>
  <c r="M201" i="457"/>
  <c r="M200" i="457"/>
  <c r="M199" i="457"/>
  <c r="M198" i="457"/>
  <c r="M197" i="457"/>
  <c r="M196" i="457"/>
  <c r="M195" i="457"/>
  <c r="M194" i="457"/>
  <c r="M193" i="457"/>
  <c r="M192" i="457"/>
  <c r="M191" i="457"/>
  <c r="M190" i="457"/>
  <c r="M189" i="457"/>
  <c r="M188" i="457"/>
  <c r="M187" i="457"/>
  <c r="M186" i="457"/>
  <c r="M185" i="457"/>
  <c r="M184" i="457"/>
  <c r="M183" i="457"/>
  <c r="M182" i="457"/>
  <c r="M181" i="457"/>
  <c r="M180" i="457"/>
  <c r="M179" i="457"/>
  <c r="M178" i="457"/>
  <c r="M177" i="457"/>
  <c r="M176" i="457"/>
  <c r="M175" i="457"/>
  <c r="M174" i="457"/>
  <c r="M173" i="457"/>
  <c r="M172" i="457"/>
  <c r="M171" i="457"/>
  <c r="M170" i="457"/>
  <c r="M169" i="457"/>
  <c r="M168" i="457"/>
  <c r="M167" i="457"/>
  <c r="M166" i="457"/>
  <c r="M165" i="457"/>
  <c r="M164" i="457"/>
  <c r="M163" i="457"/>
  <c r="M162" i="457"/>
  <c r="M161" i="457"/>
  <c r="M160" i="457"/>
  <c r="M159" i="457"/>
  <c r="M158" i="457"/>
  <c r="M157" i="457"/>
  <c r="M156" i="457"/>
  <c r="M155" i="457"/>
  <c r="M154" i="457"/>
  <c r="M153" i="457"/>
  <c r="M152" i="457"/>
  <c r="M151" i="457"/>
  <c r="M150" i="457"/>
  <c r="M149" i="457"/>
  <c r="M148" i="457"/>
  <c r="M147" i="457"/>
  <c r="M146" i="457"/>
  <c r="M145" i="457"/>
  <c r="M144" i="457"/>
  <c r="M143" i="457"/>
  <c r="M142" i="457"/>
  <c r="M141" i="457"/>
  <c r="M140" i="457"/>
  <c r="M139" i="457"/>
  <c r="M138" i="457"/>
  <c r="M137" i="457"/>
  <c r="M136" i="457"/>
  <c r="M135" i="457"/>
  <c r="M134" i="457"/>
  <c r="M133" i="457"/>
  <c r="M132" i="457"/>
  <c r="M131" i="457"/>
  <c r="M130" i="457"/>
  <c r="M129" i="457"/>
  <c r="M128" i="457"/>
  <c r="M127" i="457"/>
  <c r="M126" i="457"/>
  <c r="M125" i="457"/>
  <c r="M124" i="457"/>
  <c r="M123" i="457"/>
  <c r="M122" i="457"/>
  <c r="M121" i="457"/>
  <c r="M118" i="457"/>
  <c r="M117" i="457"/>
  <c r="M116" i="457"/>
  <c r="M115" i="457"/>
  <c r="M114" i="457"/>
  <c r="M113" i="457"/>
  <c r="M112" i="457"/>
  <c r="M111" i="457"/>
  <c r="M110" i="457"/>
  <c r="M109" i="457"/>
  <c r="M108" i="457"/>
  <c r="V106" i="457"/>
  <c r="M106" i="457"/>
  <c r="V105" i="457"/>
  <c r="M105" i="457"/>
  <c r="V104" i="457"/>
  <c r="M104" i="457"/>
  <c r="V103" i="457"/>
  <c r="M103" i="457"/>
  <c r="V102" i="457"/>
  <c r="M102" i="457"/>
  <c r="V101" i="457"/>
  <c r="M101" i="457"/>
  <c r="V100" i="457"/>
  <c r="M100" i="457"/>
  <c r="V99" i="457"/>
  <c r="M99" i="457"/>
  <c r="V98" i="457"/>
  <c r="M98" i="457"/>
  <c r="V97" i="457"/>
  <c r="M97" i="457"/>
  <c r="V96" i="457"/>
  <c r="M96" i="457"/>
  <c r="V95" i="457"/>
  <c r="M95" i="457"/>
  <c r="V94" i="457"/>
  <c r="M94" i="457"/>
  <c r="V93" i="457"/>
  <c r="M93" i="457"/>
  <c r="V92" i="457"/>
  <c r="M92" i="457"/>
  <c r="V91" i="457"/>
  <c r="M91" i="457"/>
  <c r="V90" i="457"/>
  <c r="M90" i="457"/>
  <c r="V89" i="457"/>
  <c r="M89" i="457"/>
  <c r="V88" i="457"/>
  <c r="M88" i="457"/>
  <c r="V87" i="457"/>
  <c r="M87" i="457"/>
  <c r="V86" i="457"/>
  <c r="M86" i="457"/>
  <c r="V85" i="457"/>
  <c r="M85" i="457"/>
  <c r="V84" i="457"/>
  <c r="M84" i="457"/>
  <c r="V83" i="457"/>
  <c r="M83" i="457"/>
  <c r="V82" i="457"/>
  <c r="M82" i="457"/>
  <c r="V81" i="457"/>
  <c r="M81" i="457"/>
  <c r="V80" i="457"/>
  <c r="M80" i="457"/>
  <c r="V79" i="457"/>
  <c r="M79" i="457"/>
  <c r="V78" i="457"/>
  <c r="M78" i="457"/>
  <c r="V77" i="457"/>
  <c r="M77" i="457"/>
  <c r="V76" i="457"/>
  <c r="M76" i="457"/>
  <c r="V75" i="457"/>
  <c r="M75" i="457"/>
  <c r="V74" i="457"/>
  <c r="M74" i="457"/>
  <c r="V73" i="457"/>
  <c r="M73" i="457"/>
  <c r="V72" i="457"/>
  <c r="M72" i="457"/>
  <c r="V71" i="457"/>
  <c r="M71" i="457"/>
  <c r="V70" i="457"/>
  <c r="M70" i="457"/>
  <c r="V69" i="457"/>
  <c r="M69" i="457"/>
  <c r="V68" i="457"/>
  <c r="M68" i="457"/>
  <c r="V67" i="457"/>
  <c r="M67" i="457"/>
  <c r="V66" i="457"/>
  <c r="M66" i="457"/>
  <c r="V65" i="457"/>
  <c r="M65" i="457"/>
  <c r="V64" i="457"/>
  <c r="M64" i="457"/>
  <c r="V63" i="457"/>
  <c r="M63" i="457"/>
  <c r="V62" i="457"/>
  <c r="M62" i="457"/>
  <c r="V61" i="457"/>
  <c r="M61" i="457"/>
  <c r="V60" i="457"/>
  <c r="M60" i="457"/>
  <c r="V59" i="457"/>
  <c r="M59" i="457"/>
  <c r="V58" i="457"/>
  <c r="M58" i="457"/>
  <c r="V57" i="457"/>
  <c r="M57" i="457"/>
  <c r="V56" i="457"/>
  <c r="M56" i="457"/>
  <c r="V55" i="457"/>
  <c r="M55" i="457"/>
  <c r="V54" i="457"/>
  <c r="M54" i="457"/>
  <c r="V53" i="457"/>
  <c r="M53" i="457"/>
  <c r="V52" i="457"/>
  <c r="M52" i="457"/>
  <c r="V51" i="457"/>
  <c r="M51" i="457"/>
  <c r="V50" i="457"/>
  <c r="M50" i="457"/>
  <c r="V49" i="457"/>
  <c r="M49" i="457"/>
  <c r="V48" i="457"/>
  <c r="M48" i="457"/>
  <c r="V47" i="457"/>
  <c r="M47" i="457"/>
  <c r="V46" i="457"/>
  <c r="M46" i="457"/>
  <c r="V45" i="457"/>
  <c r="M45" i="457"/>
  <c r="V44" i="457"/>
  <c r="M44" i="457"/>
  <c r="V43" i="457"/>
  <c r="M43" i="457"/>
  <c r="V42" i="457"/>
  <c r="M42" i="457"/>
  <c r="V41" i="457"/>
  <c r="M41" i="457"/>
  <c r="V40" i="457"/>
  <c r="M40" i="457"/>
  <c r="V39" i="457"/>
  <c r="M39" i="457"/>
  <c r="V38" i="457"/>
  <c r="M38" i="457"/>
  <c r="V37" i="457"/>
  <c r="M37" i="457"/>
  <c r="V36" i="457"/>
  <c r="M36" i="457"/>
  <c r="V35" i="457"/>
  <c r="M35" i="457"/>
  <c r="V34" i="457"/>
  <c r="M34" i="457"/>
  <c r="V33" i="457"/>
  <c r="M33" i="457"/>
  <c r="V32" i="457"/>
  <c r="M32" i="457"/>
  <c r="V31" i="457"/>
  <c r="M31" i="457"/>
  <c r="V30" i="457"/>
  <c r="M30" i="457"/>
  <c r="V29" i="457"/>
  <c r="M29" i="457"/>
  <c r="V28" i="457"/>
  <c r="M28" i="457"/>
  <c r="V27" i="457"/>
  <c r="M27" i="457"/>
  <c r="V26" i="457"/>
  <c r="M26" i="457"/>
  <c r="V25" i="457"/>
  <c r="M25" i="457"/>
  <c r="V24" i="457"/>
  <c r="M24" i="457"/>
  <c r="V23" i="457"/>
  <c r="M23" i="457"/>
  <c r="V22" i="457"/>
  <c r="M22" i="457"/>
  <c r="V21" i="457"/>
  <c r="M21" i="457"/>
  <c r="V20" i="457"/>
  <c r="M20" i="457"/>
  <c r="V19" i="457"/>
  <c r="M19" i="457"/>
  <c r="V18" i="457"/>
  <c r="M18" i="457"/>
  <c r="V17" i="457"/>
  <c r="M17" i="457"/>
  <c r="V16" i="457"/>
  <c r="M16" i="457"/>
  <c r="V15" i="457"/>
  <c r="M15" i="457"/>
  <c r="V14" i="457"/>
  <c r="M14" i="457"/>
  <c r="V13" i="457"/>
  <c r="M13" i="457"/>
  <c r="V12" i="457"/>
  <c r="M12" i="457"/>
  <c r="V11" i="457"/>
  <c r="M11" i="457"/>
  <c r="V10" i="457"/>
  <c r="M10" i="457"/>
  <c r="V9" i="457"/>
  <c r="M9" i="457"/>
  <c r="V8" i="457"/>
  <c r="M8" i="457"/>
  <c r="V7" i="457"/>
  <c r="M7" i="457"/>
  <c r="V6" i="457"/>
  <c r="M6" i="457"/>
  <c r="M4" i="457"/>
  <c r="C2" i="457"/>
  <c r="M530" i="455"/>
  <c r="M529" i="455"/>
  <c r="M528" i="455"/>
  <c r="M527" i="455"/>
  <c r="M526" i="455"/>
  <c r="M525" i="455"/>
  <c r="M524" i="455"/>
  <c r="M523" i="455"/>
  <c r="M522" i="455"/>
  <c r="M521" i="455"/>
  <c r="M520" i="455"/>
  <c r="M519" i="455"/>
  <c r="M518" i="455"/>
  <c r="M517" i="455"/>
  <c r="M516" i="455"/>
  <c r="M515" i="455"/>
  <c r="M514" i="455"/>
  <c r="M513" i="455"/>
  <c r="M512" i="455"/>
  <c r="M511" i="455"/>
  <c r="M510" i="455"/>
  <c r="M509" i="455"/>
  <c r="M508" i="455"/>
  <c r="M507" i="455"/>
  <c r="M506" i="455"/>
  <c r="M505" i="455"/>
  <c r="M504" i="455"/>
  <c r="M503" i="455"/>
  <c r="M502" i="455"/>
  <c r="M501" i="455"/>
  <c r="M500" i="455"/>
  <c r="M499" i="455"/>
  <c r="M498" i="455"/>
  <c r="M497" i="455"/>
  <c r="M496" i="455"/>
  <c r="M495" i="455"/>
  <c r="M494" i="455"/>
  <c r="M493" i="455"/>
  <c r="M492" i="455"/>
  <c r="M491" i="455"/>
  <c r="M490" i="455"/>
  <c r="M489" i="455"/>
  <c r="M488" i="455"/>
  <c r="M487" i="455"/>
  <c r="M486" i="455"/>
  <c r="M485" i="455"/>
  <c r="M484" i="455"/>
  <c r="M483" i="455"/>
  <c r="M482" i="455"/>
  <c r="M481" i="455"/>
  <c r="M480" i="455"/>
  <c r="M479" i="455"/>
  <c r="M478" i="455"/>
  <c r="M477" i="455"/>
  <c r="M476" i="455"/>
  <c r="M475" i="455"/>
  <c r="M474" i="455"/>
  <c r="M473" i="455"/>
  <c r="M472" i="455"/>
  <c r="M471" i="455"/>
  <c r="M470" i="455"/>
  <c r="M469" i="455"/>
  <c r="M468" i="455"/>
  <c r="M467" i="455"/>
  <c r="M466" i="455"/>
  <c r="M465" i="455"/>
  <c r="M464" i="455"/>
  <c r="M463" i="455"/>
  <c r="M462" i="455"/>
  <c r="M461" i="455"/>
  <c r="M460" i="455"/>
  <c r="M459" i="455"/>
  <c r="M458" i="455"/>
  <c r="M457" i="455"/>
  <c r="M456" i="455"/>
  <c r="M455" i="455"/>
  <c r="M454" i="455"/>
  <c r="M453" i="455"/>
  <c r="M452" i="455"/>
  <c r="M451" i="455"/>
  <c r="M450" i="455"/>
  <c r="M449" i="455"/>
  <c r="M448" i="455"/>
  <c r="M447" i="455"/>
  <c r="M446" i="455"/>
  <c r="M445" i="455"/>
  <c r="M444" i="455"/>
  <c r="M443" i="455"/>
  <c r="M442" i="455"/>
  <c r="M441" i="455"/>
  <c r="M440" i="455"/>
  <c r="M439" i="455"/>
  <c r="M438" i="455"/>
  <c r="M437" i="455"/>
  <c r="M436" i="455"/>
  <c r="M435" i="455"/>
  <c r="M434" i="455"/>
  <c r="M433" i="455"/>
  <c r="M432" i="455"/>
  <c r="M431" i="455"/>
  <c r="M429" i="455"/>
  <c r="M428" i="455"/>
  <c r="M427" i="455"/>
  <c r="M426" i="455"/>
  <c r="M425" i="455"/>
  <c r="M424" i="455"/>
  <c r="M423" i="455"/>
  <c r="M422" i="455"/>
  <c r="M421" i="455"/>
  <c r="M420" i="455"/>
  <c r="M419" i="455"/>
  <c r="M418" i="455"/>
  <c r="M417" i="455"/>
  <c r="M416" i="455"/>
  <c r="M415" i="455"/>
  <c r="M414" i="455"/>
  <c r="M413" i="455"/>
  <c r="M412" i="455"/>
  <c r="M411" i="455"/>
  <c r="M410" i="455"/>
  <c r="M409" i="455"/>
  <c r="M408" i="455"/>
  <c r="M407" i="455"/>
  <c r="M406" i="455"/>
  <c r="M405" i="455"/>
  <c r="M404" i="455"/>
  <c r="M403" i="455"/>
  <c r="M402" i="455"/>
  <c r="M401" i="455"/>
  <c r="M400" i="455"/>
  <c r="M399" i="455"/>
  <c r="M398" i="455"/>
  <c r="M397" i="455"/>
  <c r="M396" i="455"/>
  <c r="M395" i="455"/>
  <c r="M394" i="455"/>
  <c r="M393" i="455"/>
  <c r="M392" i="455"/>
  <c r="M391" i="455"/>
  <c r="M390" i="455"/>
  <c r="M389" i="455"/>
  <c r="M388" i="455"/>
  <c r="M387" i="455"/>
  <c r="M386" i="455"/>
  <c r="M385" i="455"/>
  <c r="M384" i="455"/>
  <c r="M383" i="455"/>
  <c r="M382" i="455"/>
  <c r="M381" i="455"/>
  <c r="M380" i="455"/>
  <c r="M379" i="455"/>
  <c r="M378" i="455"/>
  <c r="M377" i="455"/>
  <c r="M376" i="455"/>
  <c r="M375" i="455"/>
  <c r="M374" i="455"/>
  <c r="M373" i="455"/>
  <c r="M372" i="455"/>
  <c r="M371" i="455"/>
  <c r="M370" i="455"/>
  <c r="M369" i="455"/>
  <c r="M368" i="455"/>
  <c r="M367" i="455"/>
  <c r="M366" i="455"/>
  <c r="M365" i="455"/>
  <c r="M364" i="455"/>
  <c r="M363" i="455"/>
  <c r="M362" i="455"/>
  <c r="M361" i="455"/>
  <c r="M360" i="455"/>
  <c r="M359" i="455"/>
  <c r="M358" i="455"/>
  <c r="M357" i="455"/>
  <c r="M356" i="455"/>
  <c r="M355" i="455"/>
  <c r="M354" i="455"/>
  <c r="M353" i="455"/>
  <c r="M352" i="455"/>
  <c r="M351" i="455"/>
  <c r="M350" i="455"/>
  <c r="M349" i="455"/>
  <c r="M348" i="455"/>
  <c r="M347" i="455"/>
  <c r="M346" i="455"/>
  <c r="M345" i="455"/>
  <c r="M344" i="455"/>
  <c r="M343" i="455"/>
  <c r="M342" i="455"/>
  <c r="M341" i="455"/>
  <c r="M340" i="455"/>
  <c r="M339" i="455"/>
  <c r="M338" i="455"/>
  <c r="M337" i="455"/>
  <c r="M336" i="455"/>
  <c r="M335" i="455"/>
  <c r="M334" i="455"/>
  <c r="M333" i="455"/>
  <c r="M332" i="455"/>
  <c r="M331" i="455"/>
  <c r="M330" i="455"/>
  <c r="M329" i="455"/>
  <c r="M326" i="455"/>
  <c r="M324" i="455"/>
  <c r="M323" i="455"/>
  <c r="M322" i="455"/>
  <c r="M321" i="455"/>
  <c r="M320" i="455"/>
  <c r="M319" i="455"/>
  <c r="M318" i="455"/>
  <c r="M317" i="455"/>
  <c r="M316" i="455"/>
  <c r="M315" i="455"/>
  <c r="M314" i="455"/>
  <c r="M313" i="455"/>
  <c r="M312" i="455"/>
  <c r="M311" i="455"/>
  <c r="M310" i="455"/>
  <c r="M309" i="455"/>
  <c r="M308" i="455"/>
  <c r="M307" i="455"/>
  <c r="M306" i="455"/>
  <c r="M305" i="455"/>
  <c r="M304" i="455"/>
  <c r="M303" i="455"/>
  <c r="M302" i="455"/>
  <c r="M301" i="455"/>
  <c r="M300" i="455"/>
  <c r="M299" i="455"/>
  <c r="M298" i="455"/>
  <c r="M297" i="455"/>
  <c r="M296" i="455"/>
  <c r="M295" i="455"/>
  <c r="M294" i="455"/>
  <c r="M293" i="455"/>
  <c r="M292" i="455"/>
  <c r="M291" i="455"/>
  <c r="M290" i="455"/>
  <c r="M289" i="455"/>
  <c r="M288" i="455"/>
  <c r="M287" i="455"/>
  <c r="M286" i="455"/>
  <c r="M285" i="455"/>
  <c r="M284" i="455"/>
  <c r="M283" i="455"/>
  <c r="M282" i="455"/>
  <c r="M281" i="455"/>
  <c r="M280" i="455"/>
  <c r="M279" i="455"/>
  <c r="M278" i="455"/>
  <c r="M277" i="455"/>
  <c r="M276" i="455"/>
  <c r="M275" i="455"/>
  <c r="M274" i="455"/>
  <c r="M273" i="455"/>
  <c r="M272" i="455"/>
  <c r="M271" i="455"/>
  <c r="M270" i="455"/>
  <c r="M269" i="455"/>
  <c r="M268" i="455"/>
  <c r="M267" i="455"/>
  <c r="M266" i="455"/>
  <c r="M265" i="455"/>
  <c r="M264" i="455"/>
  <c r="M263" i="455"/>
  <c r="M262" i="455"/>
  <c r="M261" i="455"/>
  <c r="M260" i="455"/>
  <c r="M259" i="455"/>
  <c r="M258" i="455"/>
  <c r="M257" i="455"/>
  <c r="M256" i="455"/>
  <c r="M255" i="455"/>
  <c r="M254" i="455"/>
  <c r="M253" i="455"/>
  <c r="M252" i="455"/>
  <c r="M251" i="455"/>
  <c r="M250" i="455"/>
  <c r="M249" i="455"/>
  <c r="M248" i="455"/>
  <c r="M247" i="455"/>
  <c r="M246" i="455"/>
  <c r="M245" i="455"/>
  <c r="M244" i="455"/>
  <c r="M243" i="455"/>
  <c r="M242" i="455"/>
  <c r="M241" i="455"/>
  <c r="M240" i="455"/>
  <c r="M239" i="455"/>
  <c r="M238" i="455"/>
  <c r="M237" i="455"/>
  <c r="M236" i="455"/>
  <c r="M235" i="455"/>
  <c r="M234" i="455"/>
  <c r="M233" i="455"/>
  <c r="M232" i="455"/>
  <c r="M231" i="455"/>
  <c r="M230" i="455"/>
  <c r="M229" i="455"/>
  <c r="M228" i="455"/>
  <c r="M227" i="455"/>
  <c r="M226" i="455"/>
  <c r="M225" i="455"/>
  <c r="M222" i="455"/>
  <c r="M221" i="455"/>
  <c r="M220" i="455"/>
  <c r="M219" i="455"/>
  <c r="M218" i="455"/>
  <c r="M217" i="455"/>
  <c r="M216" i="455"/>
  <c r="M215" i="455"/>
  <c r="M214" i="455"/>
  <c r="M213" i="455"/>
  <c r="M212" i="455"/>
  <c r="M211" i="455"/>
  <c r="M210" i="455"/>
  <c r="M209" i="455"/>
  <c r="M208" i="455"/>
  <c r="M207" i="455"/>
  <c r="M206" i="455"/>
  <c r="M205" i="455"/>
  <c r="M204" i="455"/>
  <c r="M203" i="455"/>
  <c r="M202" i="455"/>
  <c r="M201" i="455"/>
  <c r="M200" i="455"/>
  <c r="M199" i="455"/>
  <c r="M198" i="455"/>
  <c r="M197" i="455"/>
  <c r="M196" i="455"/>
  <c r="M195" i="455"/>
  <c r="M194" i="455"/>
  <c r="M193" i="455"/>
  <c r="M192" i="455"/>
  <c r="M191" i="455"/>
  <c r="M190" i="455"/>
  <c r="M189" i="455"/>
  <c r="M188" i="455"/>
  <c r="M187" i="455"/>
  <c r="M186" i="455"/>
  <c r="M185" i="455"/>
  <c r="M184" i="455"/>
  <c r="M183" i="455"/>
  <c r="M182" i="455"/>
  <c r="M181" i="455"/>
  <c r="M180" i="455"/>
  <c r="M179" i="455"/>
  <c r="M178" i="455"/>
  <c r="M177" i="455"/>
  <c r="M176" i="455"/>
  <c r="M175" i="455"/>
  <c r="M174" i="455"/>
  <c r="M173" i="455"/>
  <c r="M172" i="455"/>
  <c r="M171" i="455"/>
  <c r="M170" i="455"/>
  <c r="M169" i="455"/>
  <c r="M168" i="455"/>
  <c r="M167" i="455"/>
  <c r="M166" i="455"/>
  <c r="M165" i="455"/>
  <c r="M164" i="455"/>
  <c r="M163" i="455"/>
  <c r="M162" i="455"/>
  <c r="M161" i="455"/>
  <c r="M160" i="455"/>
  <c r="M159" i="455"/>
  <c r="M158" i="455"/>
  <c r="M157" i="455"/>
  <c r="M156" i="455"/>
  <c r="M155" i="455"/>
  <c r="M154" i="455"/>
  <c r="M153" i="455"/>
  <c r="M152" i="455"/>
  <c r="M151" i="455"/>
  <c r="M150" i="455"/>
  <c r="M149" i="455"/>
  <c r="M148" i="455"/>
  <c r="M147" i="455"/>
  <c r="M146" i="455"/>
  <c r="M145" i="455"/>
  <c r="M144" i="455"/>
  <c r="M143" i="455"/>
  <c r="M142" i="455"/>
  <c r="M141" i="455"/>
  <c r="M140" i="455"/>
  <c r="M139" i="455"/>
  <c r="M138" i="455"/>
  <c r="M137" i="455"/>
  <c r="M136" i="455"/>
  <c r="M135" i="455"/>
  <c r="M134" i="455"/>
  <c r="M133" i="455"/>
  <c r="M132" i="455"/>
  <c r="M131" i="455"/>
  <c r="M130" i="455"/>
  <c r="M129" i="455"/>
  <c r="M128" i="455"/>
  <c r="M127" i="455"/>
  <c r="M126" i="455"/>
  <c r="M125" i="455"/>
  <c r="M124" i="455"/>
  <c r="M123" i="455"/>
  <c r="M122" i="455"/>
  <c r="M121" i="455"/>
  <c r="M118" i="455"/>
  <c r="M117" i="455"/>
  <c r="M116" i="455"/>
  <c r="M115" i="455"/>
  <c r="M114" i="455"/>
  <c r="M113" i="455"/>
  <c r="M112" i="455"/>
  <c r="M111" i="455"/>
  <c r="M110" i="455"/>
  <c r="M109" i="455"/>
  <c r="M108" i="455"/>
  <c r="V106" i="455"/>
  <c r="M106" i="455"/>
  <c r="V105" i="455"/>
  <c r="M105" i="455"/>
  <c r="V104" i="455"/>
  <c r="M104" i="455"/>
  <c r="V103" i="455"/>
  <c r="M103" i="455"/>
  <c r="V102" i="455"/>
  <c r="M102" i="455"/>
  <c r="V101" i="455"/>
  <c r="M101" i="455"/>
  <c r="V100" i="455"/>
  <c r="M100" i="455"/>
  <c r="V99" i="455"/>
  <c r="M99" i="455"/>
  <c r="V98" i="455"/>
  <c r="M98" i="455"/>
  <c r="V97" i="455"/>
  <c r="M97" i="455"/>
  <c r="V96" i="455"/>
  <c r="M96" i="455"/>
  <c r="V95" i="455"/>
  <c r="M95" i="455"/>
  <c r="V94" i="455"/>
  <c r="M94" i="455"/>
  <c r="V93" i="455"/>
  <c r="M93" i="455"/>
  <c r="V92" i="455"/>
  <c r="M92" i="455"/>
  <c r="V91" i="455"/>
  <c r="M91" i="455"/>
  <c r="V90" i="455"/>
  <c r="M90" i="455"/>
  <c r="V89" i="455"/>
  <c r="M89" i="455"/>
  <c r="V88" i="455"/>
  <c r="M88" i="455"/>
  <c r="V87" i="455"/>
  <c r="M87" i="455"/>
  <c r="V86" i="455"/>
  <c r="M86" i="455"/>
  <c r="V85" i="455"/>
  <c r="M85" i="455"/>
  <c r="V84" i="455"/>
  <c r="M84" i="455"/>
  <c r="V83" i="455"/>
  <c r="M83" i="455"/>
  <c r="V82" i="455"/>
  <c r="M82" i="455"/>
  <c r="V81" i="455"/>
  <c r="M81" i="455"/>
  <c r="V80" i="455"/>
  <c r="M80" i="455"/>
  <c r="V79" i="455"/>
  <c r="M79" i="455"/>
  <c r="V78" i="455"/>
  <c r="M78" i="455"/>
  <c r="V77" i="455"/>
  <c r="M77" i="455"/>
  <c r="V76" i="455"/>
  <c r="M76" i="455"/>
  <c r="V75" i="455"/>
  <c r="M75" i="455"/>
  <c r="V74" i="455"/>
  <c r="M74" i="455"/>
  <c r="V73" i="455"/>
  <c r="M73" i="455"/>
  <c r="V72" i="455"/>
  <c r="M72" i="455"/>
  <c r="V71" i="455"/>
  <c r="M71" i="455"/>
  <c r="V70" i="455"/>
  <c r="M70" i="455"/>
  <c r="V69" i="455"/>
  <c r="M69" i="455"/>
  <c r="V68" i="455"/>
  <c r="M68" i="455"/>
  <c r="V67" i="455"/>
  <c r="M67" i="455"/>
  <c r="V66" i="455"/>
  <c r="M66" i="455"/>
  <c r="V65" i="455"/>
  <c r="M65" i="455"/>
  <c r="V64" i="455"/>
  <c r="M64" i="455"/>
  <c r="V63" i="455"/>
  <c r="M63" i="455"/>
  <c r="V62" i="455"/>
  <c r="M62" i="455"/>
  <c r="V61" i="455"/>
  <c r="M61" i="455"/>
  <c r="V60" i="455"/>
  <c r="M60" i="455"/>
  <c r="V59" i="455"/>
  <c r="M59" i="455"/>
  <c r="V58" i="455"/>
  <c r="M58" i="455"/>
  <c r="V57" i="455"/>
  <c r="M57" i="455"/>
  <c r="V56" i="455"/>
  <c r="M56" i="455"/>
  <c r="V55" i="455"/>
  <c r="M55" i="455"/>
  <c r="V54" i="455"/>
  <c r="M54" i="455"/>
  <c r="V53" i="455"/>
  <c r="M53" i="455"/>
  <c r="V52" i="455"/>
  <c r="M52" i="455"/>
  <c r="V51" i="455"/>
  <c r="M51" i="455"/>
  <c r="V50" i="455"/>
  <c r="M50" i="455"/>
  <c r="V49" i="455"/>
  <c r="M49" i="455"/>
  <c r="V48" i="455"/>
  <c r="M48" i="455"/>
  <c r="V47" i="455"/>
  <c r="M47" i="455"/>
  <c r="V46" i="455"/>
  <c r="M46" i="455"/>
  <c r="V45" i="455"/>
  <c r="M45" i="455"/>
  <c r="V44" i="455"/>
  <c r="M44" i="455"/>
  <c r="V43" i="455"/>
  <c r="M43" i="455"/>
  <c r="V42" i="455"/>
  <c r="M42" i="455"/>
  <c r="V41" i="455"/>
  <c r="M41" i="455"/>
  <c r="V40" i="455"/>
  <c r="M40" i="455"/>
  <c r="V39" i="455"/>
  <c r="M39" i="455"/>
  <c r="V38" i="455"/>
  <c r="M38" i="455"/>
  <c r="V37" i="455"/>
  <c r="M37" i="455"/>
  <c r="V36" i="455"/>
  <c r="M36" i="455"/>
  <c r="V35" i="455"/>
  <c r="M35" i="455"/>
  <c r="V34" i="455"/>
  <c r="M34" i="455"/>
  <c r="V33" i="455"/>
  <c r="M33" i="455"/>
  <c r="V32" i="455"/>
  <c r="M32" i="455"/>
  <c r="V31" i="455"/>
  <c r="M31" i="455"/>
  <c r="V30" i="455"/>
  <c r="M30" i="455"/>
  <c r="V29" i="455"/>
  <c r="M29" i="455"/>
  <c r="V28" i="455"/>
  <c r="M28" i="455"/>
  <c r="V27" i="455"/>
  <c r="M27" i="455"/>
  <c r="V26" i="455"/>
  <c r="M26" i="455"/>
  <c r="V25" i="455"/>
  <c r="M25" i="455"/>
  <c r="V24" i="455"/>
  <c r="M24" i="455"/>
  <c r="V23" i="455"/>
  <c r="M23" i="455"/>
  <c r="V22" i="455"/>
  <c r="M22" i="455"/>
  <c r="V21" i="455"/>
  <c r="M21" i="455"/>
  <c r="V20" i="455"/>
  <c r="M20" i="455"/>
  <c r="V19" i="455"/>
  <c r="M19" i="455"/>
  <c r="V18" i="455"/>
  <c r="M18" i="455"/>
  <c r="V17" i="455"/>
  <c r="M17" i="455"/>
  <c r="V16" i="455"/>
  <c r="M16" i="455"/>
  <c r="V15" i="455"/>
  <c r="M15" i="455"/>
  <c r="V14" i="455"/>
  <c r="M14" i="455"/>
  <c r="V13" i="455"/>
  <c r="M13" i="455"/>
  <c r="V12" i="455"/>
  <c r="M12" i="455"/>
  <c r="V11" i="455"/>
  <c r="M11" i="455"/>
  <c r="V10" i="455"/>
  <c r="M10" i="455"/>
  <c r="V9" i="455"/>
  <c r="M9" i="455"/>
  <c r="V8" i="455"/>
  <c r="M8" i="455"/>
  <c r="V7" i="455"/>
  <c r="M7" i="455"/>
  <c r="V6" i="455"/>
  <c r="M6" i="455"/>
  <c r="M4" i="455"/>
  <c r="C2" i="455"/>
  <c r="M530" i="454"/>
  <c r="M529" i="454"/>
  <c r="M528" i="454"/>
  <c r="M527" i="454"/>
  <c r="M526" i="454"/>
  <c r="M525" i="454"/>
  <c r="M524" i="454"/>
  <c r="M523" i="454"/>
  <c r="M522" i="454"/>
  <c r="M521" i="454"/>
  <c r="M520" i="454"/>
  <c r="M519" i="454"/>
  <c r="M518" i="454"/>
  <c r="M517" i="454"/>
  <c r="M516" i="454"/>
  <c r="M515" i="454"/>
  <c r="M514" i="454"/>
  <c r="M513" i="454"/>
  <c r="M512" i="454"/>
  <c r="M511" i="454"/>
  <c r="M510" i="454"/>
  <c r="M509" i="454"/>
  <c r="M508" i="454"/>
  <c r="M507" i="454"/>
  <c r="M506" i="454"/>
  <c r="M505" i="454"/>
  <c r="M504" i="454"/>
  <c r="M503" i="454"/>
  <c r="M502" i="454"/>
  <c r="M501" i="454"/>
  <c r="M500" i="454"/>
  <c r="M499" i="454"/>
  <c r="M498" i="454"/>
  <c r="M497" i="454"/>
  <c r="M496" i="454"/>
  <c r="M495" i="454"/>
  <c r="M494" i="454"/>
  <c r="M493" i="454"/>
  <c r="M492" i="454"/>
  <c r="M491" i="454"/>
  <c r="M490" i="454"/>
  <c r="M489" i="454"/>
  <c r="M488" i="454"/>
  <c r="M487" i="454"/>
  <c r="M486" i="454"/>
  <c r="M485" i="454"/>
  <c r="M484" i="454"/>
  <c r="M483" i="454"/>
  <c r="M482" i="454"/>
  <c r="M481" i="454"/>
  <c r="M480" i="454"/>
  <c r="M479" i="454"/>
  <c r="M478" i="454"/>
  <c r="M477" i="454"/>
  <c r="M476" i="454"/>
  <c r="M475" i="454"/>
  <c r="M474" i="454"/>
  <c r="M473" i="454"/>
  <c r="M472" i="454"/>
  <c r="M471" i="454"/>
  <c r="M470" i="454"/>
  <c r="M469" i="454"/>
  <c r="M468" i="454"/>
  <c r="M467" i="454"/>
  <c r="M466" i="454"/>
  <c r="M465" i="454"/>
  <c r="M464" i="454"/>
  <c r="M463" i="454"/>
  <c r="M462" i="454"/>
  <c r="M461" i="454"/>
  <c r="M460" i="454"/>
  <c r="M459" i="454"/>
  <c r="M458" i="454"/>
  <c r="M457" i="454"/>
  <c r="M456" i="454"/>
  <c r="M455" i="454"/>
  <c r="M454" i="454"/>
  <c r="M453" i="454"/>
  <c r="M452" i="454"/>
  <c r="M451" i="454"/>
  <c r="M450" i="454"/>
  <c r="M449" i="454"/>
  <c r="M448" i="454"/>
  <c r="M447" i="454"/>
  <c r="M446" i="454"/>
  <c r="M445" i="454"/>
  <c r="M444" i="454"/>
  <c r="M443" i="454"/>
  <c r="M442" i="454"/>
  <c r="M441" i="454"/>
  <c r="M440" i="454"/>
  <c r="M439" i="454"/>
  <c r="M438" i="454"/>
  <c r="M437" i="454"/>
  <c r="M436" i="454"/>
  <c r="M435" i="454"/>
  <c r="M434" i="454"/>
  <c r="M433" i="454"/>
  <c r="M432" i="454"/>
  <c r="M431" i="454"/>
  <c r="M429" i="454"/>
  <c r="M428" i="454"/>
  <c r="M427" i="454"/>
  <c r="M426" i="454"/>
  <c r="M425" i="454"/>
  <c r="M424" i="454"/>
  <c r="M423" i="454"/>
  <c r="M422" i="454"/>
  <c r="M421" i="454"/>
  <c r="M420" i="454"/>
  <c r="M419" i="454"/>
  <c r="M418" i="454"/>
  <c r="M417" i="454"/>
  <c r="M416" i="454"/>
  <c r="M415" i="454"/>
  <c r="M414" i="454"/>
  <c r="M413" i="454"/>
  <c r="M412" i="454"/>
  <c r="M411" i="454"/>
  <c r="M410" i="454"/>
  <c r="M409" i="454"/>
  <c r="M408" i="454"/>
  <c r="M407" i="454"/>
  <c r="M406" i="454"/>
  <c r="M405" i="454"/>
  <c r="M404" i="454"/>
  <c r="M403" i="454"/>
  <c r="M402" i="454"/>
  <c r="M401" i="454"/>
  <c r="M400" i="454"/>
  <c r="M399" i="454"/>
  <c r="M398" i="454"/>
  <c r="M397" i="454"/>
  <c r="M396" i="454"/>
  <c r="M395" i="454"/>
  <c r="M394" i="454"/>
  <c r="M393" i="454"/>
  <c r="M392" i="454"/>
  <c r="M391" i="454"/>
  <c r="M390" i="454"/>
  <c r="M389" i="454"/>
  <c r="M388" i="454"/>
  <c r="M387" i="454"/>
  <c r="M386" i="454"/>
  <c r="M385" i="454"/>
  <c r="M384" i="454"/>
  <c r="M383" i="454"/>
  <c r="M382" i="454"/>
  <c r="M381" i="454"/>
  <c r="M380" i="454"/>
  <c r="M379" i="454"/>
  <c r="M378" i="454"/>
  <c r="M377" i="454"/>
  <c r="M376" i="454"/>
  <c r="M375" i="454"/>
  <c r="M374" i="454"/>
  <c r="M373" i="454"/>
  <c r="M372" i="454"/>
  <c r="M371" i="454"/>
  <c r="M370" i="454"/>
  <c r="M369" i="454"/>
  <c r="M368" i="454"/>
  <c r="M367" i="454"/>
  <c r="M366" i="454"/>
  <c r="M365" i="454"/>
  <c r="M364" i="454"/>
  <c r="M363" i="454"/>
  <c r="M362" i="454"/>
  <c r="M361" i="454"/>
  <c r="M360" i="454"/>
  <c r="M359" i="454"/>
  <c r="M358" i="454"/>
  <c r="M357" i="454"/>
  <c r="M356" i="454"/>
  <c r="M355" i="454"/>
  <c r="M354" i="454"/>
  <c r="M353" i="454"/>
  <c r="M352" i="454"/>
  <c r="M351" i="454"/>
  <c r="M350" i="454"/>
  <c r="M349" i="454"/>
  <c r="M348" i="454"/>
  <c r="M347" i="454"/>
  <c r="M346" i="454"/>
  <c r="M345" i="454"/>
  <c r="M344" i="454"/>
  <c r="M343" i="454"/>
  <c r="M342" i="454"/>
  <c r="M341" i="454"/>
  <c r="M340" i="454"/>
  <c r="M339" i="454"/>
  <c r="M338" i="454"/>
  <c r="M337" i="454"/>
  <c r="M336" i="454"/>
  <c r="M335" i="454"/>
  <c r="M334" i="454"/>
  <c r="M333" i="454"/>
  <c r="M332" i="454"/>
  <c r="M331" i="454"/>
  <c r="M330" i="454"/>
  <c r="M329" i="454"/>
  <c r="M326" i="454"/>
  <c r="M324" i="454"/>
  <c r="M323" i="454"/>
  <c r="M322" i="454"/>
  <c r="M321" i="454"/>
  <c r="M320" i="454"/>
  <c r="M319" i="454"/>
  <c r="M318" i="454"/>
  <c r="M317" i="454"/>
  <c r="M316" i="454"/>
  <c r="M315" i="454"/>
  <c r="M314" i="454"/>
  <c r="M313" i="454"/>
  <c r="M312" i="454"/>
  <c r="M311" i="454"/>
  <c r="M310" i="454"/>
  <c r="M309" i="454"/>
  <c r="M308" i="454"/>
  <c r="M307" i="454"/>
  <c r="M306" i="454"/>
  <c r="M305" i="454"/>
  <c r="M304" i="454"/>
  <c r="M303" i="454"/>
  <c r="M302" i="454"/>
  <c r="M301" i="454"/>
  <c r="M300" i="454"/>
  <c r="M299" i="454"/>
  <c r="M298" i="454"/>
  <c r="M297" i="454"/>
  <c r="M296" i="454"/>
  <c r="M295" i="454"/>
  <c r="M294" i="454"/>
  <c r="M293" i="454"/>
  <c r="M292" i="454"/>
  <c r="M291" i="454"/>
  <c r="M290" i="454"/>
  <c r="M289" i="454"/>
  <c r="M288" i="454"/>
  <c r="M287" i="454"/>
  <c r="M286" i="454"/>
  <c r="M285" i="454"/>
  <c r="M284" i="454"/>
  <c r="M283" i="454"/>
  <c r="M282" i="454"/>
  <c r="M281" i="454"/>
  <c r="M280" i="454"/>
  <c r="M279" i="454"/>
  <c r="M278" i="454"/>
  <c r="M277" i="454"/>
  <c r="M276" i="454"/>
  <c r="M275" i="454"/>
  <c r="M274" i="454"/>
  <c r="M273" i="454"/>
  <c r="M272" i="454"/>
  <c r="M271" i="454"/>
  <c r="M270" i="454"/>
  <c r="M269" i="454"/>
  <c r="M268" i="454"/>
  <c r="M267" i="454"/>
  <c r="M266" i="454"/>
  <c r="M265" i="454"/>
  <c r="M264" i="454"/>
  <c r="M263" i="454"/>
  <c r="M262" i="454"/>
  <c r="M261" i="454"/>
  <c r="M260" i="454"/>
  <c r="M259" i="454"/>
  <c r="M258" i="454"/>
  <c r="M257" i="454"/>
  <c r="M256" i="454"/>
  <c r="M255" i="454"/>
  <c r="M254" i="454"/>
  <c r="M253" i="454"/>
  <c r="M252" i="454"/>
  <c r="M251" i="454"/>
  <c r="M250" i="454"/>
  <c r="M249" i="454"/>
  <c r="M248" i="454"/>
  <c r="M247" i="454"/>
  <c r="M246" i="454"/>
  <c r="M245" i="454"/>
  <c r="M244" i="454"/>
  <c r="M243" i="454"/>
  <c r="M242" i="454"/>
  <c r="M241" i="454"/>
  <c r="M240" i="454"/>
  <c r="M239" i="454"/>
  <c r="M238" i="454"/>
  <c r="M237" i="454"/>
  <c r="M236" i="454"/>
  <c r="M235" i="454"/>
  <c r="M234" i="454"/>
  <c r="M233" i="454"/>
  <c r="M232" i="454"/>
  <c r="M231" i="454"/>
  <c r="M230" i="454"/>
  <c r="M229" i="454"/>
  <c r="M228" i="454"/>
  <c r="M227" i="454"/>
  <c r="M226" i="454"/>
  <c r="M225" i="454"/>
  <c r="M222" i="454"/>
  <c r="M221" i="454"/>
  <c r="M220" i="454"/>
  <c r="M219" i="454"/>
  <c r="M218" i="454"/>
  <c r="M217" i="454"/>
  <c r="M216" i="454"/>
  <c r="M215" i="454"/>
  <c r="M214" i="454"/>
  <c r="M213" i="454"/>
  <c r="M212" i="454"/>
  <c r="M211" i="454"/>
  <c r="M210" i="454"/>
  <c r="M209" i="454"/>
  <c r="M208" i="454"/>
  <c r="M207" i="454"/>
  <c r="M206" i="454"/>
  <c r="M205" i="454"/>
  <c r="M204" i="454"/>
  <c r="M203" i="454"/>
  <c r="M202" i="454"/>
  <c r="M201" i="454"/>
  <c r="M200" i="454"/>
  <c r="M199" i="454"/>
  <c r="M198" i="454"/>
  <c r="M197" i="454"/>
  <c r="M196" i="454"/>
  <c r="M195" i="454"/>
  <c r="M194" i="454"/>
  <c r="M193" i="454"/>
  <c r="M192" i="454"/>
  <c r="M191" i="454"/>
  <c r="M190" i="454"/>
  <c r="M189" i="454"/>
  <c r="M188" i="454"/>
  <c r="M187" i="454"/>
  <c r="M186" i="454"/>
  <c r="M185" i="454"/>
  <c r="M184" i="454"/>
  <c r="M183" i="454"/>
  <c r="M182" i="454"/>
  <c r="M181" i="454"/>
  <c r="M180" i="454"/>
  <c r="M179" i="454"/>
  <c r="M178" i="454"/>
  <c r="M177" i="454"/>
  <c r="M176" i="454"/>
  <c r="M175" i="454"/>
  <c r="M174" i="454"/>
  <c r="M173" i="454"/>
  <c r="M172" i="454"/>
  <c r="M171" i="454"/>
  <c r="M170" i="454"/>
  <c r="M169" i="454"/>
  <c r="M168" i="454"/>
  <c r="M167" i="454"/>
  <c r="M166" i="454"/>
  <c r="M165" i="454"/>
  <c r="M164" i="454"/>
  <c r="M163" i="454"/>
  <c r="M162" i="454"/>
  <c r="M161" i="454"/>
  <c r="M160" i="454"/>
  <c r="M159" i="454"/>
  <c r="M158" i="454"/>
  <c r="M157" i="454"/>
  <c r="M156" i="454"/>
  <c r="M155" i="454"/>
  <c r="M154" i="454"/>
  <c r="M153" i="454"/>
  <c r="M152" i="454"/>
  <c r="M151" i="454"/>
  <c r="M150" i="454"/>
  <c r="M149" i="454"/>
  <c r="M148" i="454"/>
  <c r="M147" i="454"/>
  <c r="M146" i="454"/>
  <c r="M145" i="454"/>
  <c r="M144" i="454"/>
  <c r="M143" i="454"/>
  <c r="M142" i="454"/>
  <c r="M141" i="454"/>
  <c r="M140" i="454"/>
  <c r="M139" i="454"/>
  <c r="M138" i="454"/>
  <c r="M137" i="454"/>
  <c r="M136" i="454"/>
  <c r="M135" i="454"/>
  <c r="M134" i="454"/>
  <c r="M133" i="454"/>
  <c r="M132" i="454"/>
  <c r="M131" i="454"/>
  <c r="M130" i="454"/>
  <c r="M129" i="454"/>
  <c r="M128" i="454"/>
  <c r="M127" i="454"/>
  <c r="M126" i="454"/>
  <c r="M125" i="454"/>
  <c r="M124" i="454"/>
  <c r="M123" i="454"/>
  <c r="M122" i="454"/>
  <c r="M121" i="454"/>
  <c r="M118" i="454"/>
  <c r="M117" i="454"/>
  <c r="M116" i="454"/>
  <c r="M115" i="454"/>
  <c r="M114" i="454"/>
  <c r="M113" i="454"/>
  <c r="M112" i="454"/>
  <c r="M111" i="454"/>
  <c r="M110" i="454"/>
  <c r="M109" i="454"/>
  <c r="M108" i="454"/>
  <c r="V106" i="454"/>
  <c r="M106" i="454"/>
  <c r="V105" i="454"/>
  <c r="M105" i="454"/>
  <c r="V104" i="454"/>
  <c r="M104" i="454"/>
  <c r="V103" i="454"/>
  <c r="M103" i="454"/>
  <c r="V102" i="454"/>
  <c r="M102" i="454"/>
  <c r="V101" i="454"/>
  <c r="M101" i="454"/>
  <c r="V100" i="454"/>
  <c r="M100" i="454"/>
  <c r="V99" i="454"/>
  <c r="M99" i="454"/>
  <c r="V98" i="454"/>
  <c r="M98" i="454"/>
  <c r="V97" i="454"/>
  <c r="M97" i="454"/>
  <c r="V96" i="454"/>
  <c r="M96" i="454"/>
  <c r="V95" i="454"/>
  <c r="M95" i="454"/>
  <c r="V94" i="454"/>
  <c r="M94" i="454"/>
  <c r="V93" i="454"/>
  <c r="M93" i="454"/>
  <c r="V92" i="454"/>
  <c r="M92" i="454"/>
  <c r="V91" i="454"/>
  <c r="M91" i="454"/>
  <c r="V90" i="454"/>
  <c r="M90" i="454"/>
  <c r="V89" i="454"/>
  <c r="M89" i="454"/>
  <c r="V88" i="454"/>
  <c r="M88" i="454"/>
  <c r="V87" i="454"/>
  <c r="M87" i="454"/>
  <c r="V86" i="454"/>
  <c r="M86" i="454"/>
  <c r="V85" i="454"/>
  <c r="M85" i="454"/>
  <c r="V84" i="454"/>
  <c r="M84" i="454"/>
  <c r="V83" i="454"/>
  <c r="M83" i="454"/>
  <c r="V82" i="454"/>
  <c r="M82" i="454"/>
  <c r="V81" i="454"/>
  <c r="M81" i="454"/>
  <c r="V80" i="454"/>
  <c r="M80" i="454"/>
  <c r="V79" i="454"/>
  <c r="M79" i="454"/>
  <c r="V78" i="454"/>
  <c r="M78" i="454"/>
  <c r="V77" i="454"/>
  <c r="M77" i="454"/>
  <c r="V76" i="454"/>
  <c r="M76" i="454"/>
  <c r="V75" i="454"/>
  <c r="M75" i="454"/>
  <c r="V74" i="454"/>
  <c r="M74" i="454"/>
  <c r="V73" i="454"/>
  <c r="M73" i="454"/>
  <c r="V72" i="454"/>
  <c r="M72" i="454"/>
  <c r="V71" i="454"/>
  <c r="M71" i="454"/>
  <c r="V70" i="454"/>
  <c r="M70" i="454"/>
  <c r="V69" i="454"/>
  <c r="M69" i="454"/>
  <c r="V68" i="454"/>
  <c r="M68" i="454"/>
  <c r="V67" i="454"/>
  <c r="M67" i="454"/>
  <c r="V66" i="454"/>
  <c r="M66" i="454"/>
  <c r="V65" i="454"/>
  <c r="M65" i="454"/>
  <c r="V64" i="454"/>
  <c r="M64" i="454"/>
  <c r="V63" i="454"/>
  <c r="M63" i="454"/>
  <c r="V62" i="454"/>
  <c r="M62" i="454"/>
  <c r="V61" i="454"/>
  <c r="M61" i="454"/>
  <c r="V60" i="454"/>
  <c r="M60" i="454"/>
  <c r="V59" i="454"/>
  <c r="M59" i="454"/>
  <c r="V58" i="454"/>
  <c r="M58" i="454"/>
  <c r="V57" i="454"/>
  <c r="M57" i="454"/>
  <c r="V56" i="454"/>
  <c r="M56" i="454"/>
  <c r="V55" i="454"/>
  <c r="M55" i="454"/>
  <c r="V54" i="454"/>
  <c r="M54" i="454"/>
  <c r="V53" i="454"/>
  <c r="M53" i="454"/>
  <c r="V52" i="454"/>
  <c r="M52" i="454"/>
  <c r="V51" i="454"/>
  <c r="M51" i="454"/>
  <c r="V50" i="454"/>
  <c r="M50" i="454"/>
  <c r="V49" i="454"/>
  <c r="M49" i="454"/>
  <c r="V48" i="454"/>
  <c r="M48" i="454"/>
  <c r="V47" i="454"/>
  <c r="M47" i="454"/>
  <c r="V46" i="454"/>
  <c r="M46" i="454"/>
  <c r="V45" i="454"/>
  <c r="M45" i="454"/>
  <c r="V44" i="454"/>
  <c r="M44" i="454"/>
  <c r="V43" i="454"/>
  <c r="M43" i="454"/>
  <c r="V42" i="454"/>
  <c r="M42" i="454"/>
  <c r="V41" i="454"/>
  <c r="M41" i="454"/>
  <c r="V40" i="454"/>
  <c r="M40" i="454"/>
  <c r="V39" i="454"/>
  <c r="M39" i="454"/>
  <c r="V38" i="454"/>
  <c r="M38" i="454"/>
  <c r="V37" i="454"/>
  <c r="M37" i="454"/>
  <c r="V36" i="454"/>
  <c r="M36" i="454"/>
  <c r="V35" i="454"/>
  <c r="M35" i="454"/>
  <c r="V34" i="454"/>
  <c r="M34" i="454"/>
  <c r="V33" i="454"/>
  <c r="M33" i="454"/>
  <c r="V32" i="454"/>
  <c r="M32" i="454"/>
  <c r="V31" i="454"/>
  <c r="M31" i="454"/>
  <c r="V30" i="454"/>
  <c r="M30" i="454"/>
  <c r="V29" i="454"/>
  <c r="M29" i="454"/>
  <c r="V28" i="454"/>
  <c r="M28" i="454"/>
  <c r="V27" i="454"/>
  <c r="M27" i="454"/>
  <c r="V26" i="454"/>
  <c r="M26" i="454"/>
  <c r="V25" i="454"/>
  <c r="M25" i="454"/>
  <c r="V24" i="454"/>
  <c r="M24" i="454"/>
  <c r="V23" i="454"/>
  <c r="M23" i="454"/>
  <c r="V22" i="454"/>
  <c r="M22" i="454"/>
  <c r="V21" i="454"/>
  <c r="M21" i="454"/>
  <c r="V20" i="454"/>
  <c r="M20" i="454"/>
  <c r="V19" i="454"/>
  <c r="M19" i="454"/>
  <c r="V18" i="454"/>
  <c r="M18" i="454"/>
  <c r="V17" i="454"/>
  <c r="M17" i="454"/>
  <c r="V16" i="454"/>
  <c r="M16" i="454"/>
  <c r="V15" i="454"/>
  <c r="M15" i="454"/>
  <c r="V14" i="454"/>
  <c r="M14" i="454"/>
  <c r="V13" i="454"/>
  <c r="M13" i="454"/>
  <c r="V12" i="454"/>
  <c r="M12" i="454"/>
  <c r="V11" i="454"/>
  <c r="M11" i="454"/>
  <c r="V10" i="454"/>
  <c r="M10" i="454"/>
  <c r="V9" i="454"/>
  <c r="M9" i="454"/>
  <c r="V8" i="454"/>
  <c r="M8" i="454"/>
  <c r="V7" i="454"/>
  <c r="M7" i="454"/>
  <c r="V6" i="454"/>
  <c r="M6" i="454"/>
  <c r="M4" i="454"/>
  <c r="C2" i="454"/>
  <c r="M530" i="453" l="1"/>
  <c r="M529" i="453"/>
  <c r="M528" i="453"/>
  <c r="M527" i="453"/>
  <c r="M526" i="453"/>
  <c r="M525" i="453"/>
  <c r="M524" i="453"/>
  <c r="M523" i="453"/>
  <c r="M522" i="453"/>
  <c r="M521" i="453"/>
  <c r="M520" i="453"/>
  <c r="M519" i="453"/>
  <c r="M518" i="453"/>
  <c r="M517" i="453"/>
  <c r="M516" i="453"/>
  <c r="M515" i="453"/>
  <c r="M514" i="453"/>
  <c r="M513" i="453"/>
  <c r="M512" i="453"/>
  <c r="M511" i="453"/>
  <c r="M510" i="453"/>
  <c r="M509" i="453"/>
  <c r="M508" i="453"/>
  <c r="M507" i="453"/>
  <c r="M506" i="453"/>
  <c r="M505" i="453"/>
  <c r="M504" i="453"/>
  <c r="M503" i="453"/>
  <c r="M502" i="453"/>
  <c r="M501" i="453"/>
  <c r="M500" i="453"/>
  <c r="M499" i="453"/>
  <c r="M498" i="453"/>
  <c r="M497" i="453"/>
  <c r="M496" i="453"/>
  <c r="M495" i="453"/>
  <c r="M494" i="453"/>
  <c r="M493" i="453"/>
  <c r="M492" i="453"/>
  <c r="M491" i="453"/>
  <c r="M490" i="453"/>
  <c r="M489" i="453"/>
  <c r="M488" i="453"/>
  <c r="M487" i="453"/>
  <c r="M486" i="453"/>
  <c r="M485" i="453"/>
  <c r="M484" i="453"/>
  <c r="M483" i="453"/>
  <c r="M482" i="453"/>
  <c r="M481" i="453"/>
  <c r="M480" i="453"/>
  <c r="M479" i="453"/>
  <c r="M478" i="453"/>
  <c r="M477" i="453"/>
  <c r="M476" i="453"/>
  <c r="M475" i="453"/>
  <c r="M474" i="453"/>
  <c r="M473" i="453"/>
  <c r="M472" i="453"/>
  <c r="M471" i="453"/>
  <c r="M470" i="453"/>
  <c r="M469" i="453"/>
  <c r="M468" i="453"/>
  <c r="M467" i="453"/>
  <c r="M466" i="453"/>
  <c r="M465" i="453"/>
  <c r="M464" i="453"/>
  <c r="M463" i="453"/>
  <c r="M462" i="453"/>
  <c r="M461" i="453"/>
  <c r="M460" i="453"/>
  <c r="M459" i="453"/>
  <c r="M458" i="453"/>
  <c r="M457" i="453"/>
  <c r="M456" i="453"/>
  <c r="M455" i="453"/>
  <c r="M454" i="453"/>
  <c r="M453" i="453"/>
  <c r="M452" i="453"/>
  <c r="M451" i="453"/>
  <c r="M450" i="453"/>
  <c r="M449" i="453"/>
  <c r="M448" i="453"/>
  <c r="M447" i="453"/>
  <c r="M446" i="453"/>
  <c r="M445" i="453"/>
  <c r="M444" i="453"/>
  <c r="M443" i="453"/>
  <c r="M442" i="453"/>
  <c r="M441" i="453"/>
  <c r="M440" i="453"/>
  <c r="M439" i="453"/>
  <c r="M438" i="453"/>
  <c r="M437" i="453"/>
  <c r="M436" i="453"/>
  <c r="M435" i="453"/>
  <c r="M434" i="453"/>
  <c r="M433" i="453"/>
  <c r="M432" i="453"/>
  <c r="M431" i="453"/>
  <c r="M429" i="453"/>
  <c r="M428" i="453"/>
  <c r="M427" i="453"/>
  <c r="M426" i="453"/>
  <c r="M425" i="453"/>
  <c r="M424" i="453"/>
  <c r="M423" i="453"/>
  <c r="M422" i="453"/>
  <c r="M421" i="453"/>
  <c r="M420" i="453"/>
  <c r="M419" i="453"/>
  <c r="M418" i="453"/>
  <c r="M417" i="453"/>
  <c r="M416" i="453"/>
  <c r="M415" i="453"/>
  <c r="M414" i="453"/>
  <c r="M413" i="453"/>
  <c r="M412" i="453"/>
  <c r="M411" i="453"/>
  <c r="M410" i="453"/>
  <c r="M409" i="453"/>
  <c r="M408" i="453"/>
  <c r="M407" i="453"/>
  <c r="M406" i="453"/>
  <c r="M405" i="453"/>
  <c r="M404" i="453"/>
  <c r="M403" i="453"/>
  <c r="M402" i="453"/>
  <c r="M401" i="453"/>
  <c r="M400" i="453"/>
  <c r="M399" i="453"/>
  <c r="M398" i="453"/>
  <c r="M397" i="453"/>
  <c r="M396" i="453"/>
  <c r="M395" i="453"/>
  <c r="M394" i="453"/>
  <c r="M393" i="453"/>
  <c r="M392" i="453"/>
  <c r="M391" i="453"/>
  <c r="M390" i="453"/>
  <c r="M389" i="453"/>
  <c r="M388" i="453"/>
  <c r="M387" i="453"/>
  <c r="M386" i="453"/>
  <c r="M385" i="453"/>
  <c r="M384" i="453"/>
  <c r="M383" i="453"/>
  <c r="M382" i="453"/>
  <c r="M381" i="453"/>
  <c r="M380" i="453"/>
  <c r="M379" i="453"/>
  <c r="M378" i="453"/>
  <c r="M377" i="453"/>
  <c r="M376" i="453"/>
  <c r="M375" i="453"/>
  <c r="M374" i="453"/>
  <c r="M373" i="453"/>
  <c r="M372" i="453"/>
  <c r="M371" i="453"/>
  <c r="M370" i="453"/>
  <c r="M369" i="453"/>
  <c r="M368" i="453"/>
  <c r="M367" i="453"/>
  <c r="M366" i="453"/>
  <c r="M365" i="453"/>
  <c r="M364" i="453"/>
  <c r="M363" i="453"/>
  <c r="M362" i="453"/>
  <c r="M361" i="453"/>
  <c r="M360" i="453"/>
  <c r="M359" i="453"/>
  <c r="M358" i="453"/>
  <c r="M357" i="453"/>
  <c r="M356" i="453"/>
  <c r="M355" i="453"/>
  <c r="M354" i="453"/>
  <c r="M353" i="453"/>
  <c r="M352" i="453"/>
  <c r="M351" i="453"/>
  <c r="M350" i="453"/>
  <c r="M349" i="453"/>
  <c r="M348" i="453"/>
  <c r="M347" i="453"/>
  <c r="M346" i="453"/>
  <c r="M345" i="453"/>
  <c r="M344" i="453"/>
  <c r="M343" i="453"/>
  <c r="M342" i="453"/>
  <c r="M341" i="453"/>
  <c r="M340" i="453"/>
  <c r="M339" i="453"/>
  <c r="M338" i="453"/>
  <c r="M337" i="453"/>
  <c r="M336" i="453"/>
  <c r="M335" i="453"/>
  <c r="M334" i="453"/>
  <c r="M333" i="453"/>
  <c r="M332" i="453"/>
  <c r="M331" i="453"/>
  <c r="M330" i="453"/>
  <c r="M329" i="453"/>
  <c r="M326" i="453"/>
  <c r="M324" i="453"/>
  <c r="M323" i="453"/>
  <c r="M322" i="453"/>
  <c r="M321" i="453"/>
  <c r="M320" i="453"/>
  <c r="M319" i="453"/>
  <c r="M318" i="453"/>
  <c r="M317" i="453"/>
  <c r="M316" i="453"/>
  <c r="M315" i="453"/>
  <c r="M314" i="453"/>
  <c r="M313" i="453"/>
  <c r="M312" i="453"/>
  <c r="M311" i="453"/>
  <c r="M310" i="453"/>
  <c r="M309" i="453"/>
  <c r="M308" i="453"/>
  <c r="M307" i="453"/>
  <c r="M306" i="453"/>
  <c r="M305" i="453"/>
  <c r="M304" i="453"/>
  <c r="M303" i="453"/>
  <c r="M302" i="453"/>
  <c r="M301" i="453"/>
  <c r="M300" i="453"/>
  <c r="M299" i="453"/>
  <c r="M298" i="453"/>
  <c r="M297" i="453"/>
  <c r="M296" i="453"/>
  <c r="M295" i="453"/>
  <c r="M294" i="453"/>
  <c r="M293" i="453"/>
  <c r="M292" i="453"/>
  <c r="M291" i="453"/>
  <c r="M290" i="453"/>
  <c r="M289" i="453"/>
  <c r="M288" i="453"/>
  <c r="M287" i="453"/>
  <c r="M286" i="453"/>
  <c r="M285" i="453"/>
  <c r="M284" i="453"/>
  <c r="M283" i="453"/>
  <c r="M282" i="453"/>
  <c r="M281" i="453"/>
  <c r="M280" i="453"/>
  <c r="M279" i="453"/>
  <c r="M278" i="453"/>
  <c r="M277" i="453"/>
  <c r="M276" i="453"/>
  <c r="M275" i="453"/>
  <c r="M274" i="453"/>
  <c r="M273" i="453"/>
  <c r="M272" i="453"/>
  <c r="M271" i="453"/>
  <c r="M270" i="453"/>
  <c r="M269" i="453"/>
  <c r="M268" i="453"/>
  <c r="M267" i="453"/>
  <c r="M266" i="453"/>
  <c r="M265" i="453"/>
  <c r="M264" i="453"/>
  <c r="M263" i="453"/>
  <c r="M262" i="453"/>
  <c r="M261" i="453"/>
  <c r="M260" i="453"/>
  <c r="M259" i="453"/>
  <c r="M258" i="453"/>
  <c r="M257" i="453"/>
  <c r="M256" i="453"/>
  <c r="M255" i="453"/>
  <c r="M254" i="453"/>
  <c r="M253" i="453"/>
  <c r="M252" i="453"/>
  <c r="M251" i="453"/>
  <c r="M250" i="453"/>
  <c r="M249" i="453"/>
  <c r="M248" i="453"/>
  <c r="M247" i="453"/>
  <c r="M246" i="453"/>
  <c r="M245" i="453"/>
  <c r="M244" i="453"/>
  <c r="M243" i="453"/>
  <c r="M242" i="453"/>
  <c r="M241" i="453"/>
  <c r="M240" i="453"/>
  <c r="M239" i="453"/>
  <c r="M238" i="453"/>
  <c r="M237" i="453"/>
  <c r="M236" i="453"/>
  <c r="M235" i="453"/>
  <c r="M234" i="453"/>
  <c r="M233" i="453"/>
  <c r="M232" i="453"/>
  <c r="M231" i="453"/>
  <c r="M230" i="453"/>
  <c r="M229" i="453"/>
  <c r="M228" i="453"/>
  <c r="M227" i="453"/>
  <c r="M226" i="453"/>
  <c r="M225" i="453"/>
  <c r="M222" i="453"/>
  <c r="M221" i="453"/>
  <c r="M220" i="453"/>
  <c r="M219" i="453"/>
  <c r="M218" i="453"/>
  <c r="M217" i="453"/>
  <c r="M216" i="453"/>
  <c r="M215" i="453"/>
  <c r="M214" i="453"/>
  <c r="M213" i="453"/>
  <c r="M212" i="453"/>
  <c r="M211" i="453"/>
  <c r="M210" i="453"/>
  <c r="M209" i="453"/>
  <c r="M208" i="453"/>
  <c r="M207" i="453"/>
  <c r="M206" i="453"/>
  <c r="M205" i="453"/>
  <c r="M204" i="453"/>
  <c r="M203" i="453"/>
  <c r="M202" i="453"/>
  <c r="M201" i="453"/>
  <c r="M200" i="453"/>
  <c r="M199" i="453"/>
  <c r="M198" i="453"/>
  <c r="M197" i="453"/>
  <c r="M196" i="453"/>
  <c r="M195" i="453"/>
  <c r="M194" i="453"/>
  <c r="M193" i="453"/>
  <c r="M192" i="453"/>
  <c r="M191" i="453"/>
  <c r="M190" i="453"/>
  <c r="M189" i="453"/>
  <c r="M188" i="453"/>
  <c r="M187" i="453"/>
  <c r="M186" i="453"/>
  <c r="M185" i="453"/>
  <c r="M184" i="453"/>
  <c r="M183" i="453"/>
  <c r="M182" i="453"/>
  <c r="M181" i="453"/>
  <c r="M180" i="453"/>
  <c r="M179" i="453"/>
  <c r="M178" i="453"/>
  <c r="M177" i="453"/>
  <c r="M176" i="453"/>
  <c r="M175" i="453"/>
  <c r="M174" i="453"/>
  <c r="M173" i="453"/>
  <c r="M172" i="453"/>
  <c r="M171" i="453"/>
  <c r="M170" i="453"/>
  <c r="M169" i="453"/>
  <c r="M168" i="453"/>
  <c r="M167" i="453"/>
  <c r="M166" i="453"/>
  <c r="M165" i="453"/>
  <c r="M164" i="453"/>
  <c r="M163" i="453"/>
  <c r="M162" i="453"/>
  <c r="M161" i="453"/>
  <c r="M160" i="453"/>
  <c r="M159" i="453"/>
  <c r="M158" i="453"/>
  <c r="M157" i="453"/>
  <c r="M156" i="453"/>
  <c r="M155" i="453"/>
  <c r="M154" i="453"/>
  <c r="M153" i="453"/>
  <c r="M152" i="453"/>
  <c r="M151" i="453"/>
  <c r="M150" i="453"/>
  <c r="M149" i="453"/>
  <c r="M148" i="453"/>
  <c r="M147" i="453"/>
  <c r="M146" i="453"/>
  <c r="M145" i="453"/>
  <c r="M144" i="453"/>
  <c r="M143" i="453"/>
  <c r="M142" i="453"/>
  <c r="M141" i="453"/>
  <c r="M140" i="453"/>
  <c r="M139" i="453"/>
  <c r="M138" i="453"/>
  <c r="M137" i="453"/>
  <c r="M136" i="453"/>
  <c r="M135" i="453"/>
  <c r="M134" i="453"/>
  <c r="M133" i="453"/>
  <c r="M132" i="453"/>
  <c r="M131" i="453"/>
  <c r="M130" i="453"/>
  <c r="M129" i="453"/>
  <c r="M128" i="453"/>
  <c r="M127" i="453"/>
  <c r="M126" i="453"/>
  <c r="M125" i="453"/>
  <c r="M124" i="453"/>
  <c r="M123" i="453"/>
  <c r="M122" i="453"/>
  <c r="M121" i="453"/>
  <c r="M118" i="453"/>
  <c r="M117" i="453"/>
  <c r="M116" i="453"/>
  <c r="M115" i="453"/>
  <c r="M114" i="453"/>
  <c r="M113" i="453"/>
  <c r="M112" i="453"/>
  <c r="M111" i="453"/>
  <c r="M109" i="453"/>
  <c r="M110" i="453" s="1"/>
  <c r="M108" i="453"/>
  <c r="V106" i="453"/>
  <c r="M106" i="453"/>
  <c r="V105" i="453"/>
  <c r="M105" i="453"/>
  <c r="V104" i="453"/>
  <c r="M104" i="453"/>
  <c r="V103" i="453"/>
  <c r="M103" i="453"/>
  <c r="V102" i="453"/>
  <c r="M102" i="453"/>
  <c r="V101" i="453"/>
  <c r="M101" i="453"/>
  <c r="V100" i="453"/>
  <c r="M100" i="453"/>
  <c r="V99" i="453"/>
  <c r="M99" i="453"/>
  <c r="V98" i="453"/>
  <c r="M98" i="453"/>
  <c r="V97" i="453"/>
  <c r="M97" i="453"/>
  <c r="V96" i="453"/>
  <c r="M96" i="453"/>
  <c r="V95" i="453"/>
  <c r="M95" i="453"/>
  <c r="V94" i="453"/>
  <c r="M94" i="453"/>
  <c r="V93" i="453"/>
  <c r="M93" i="453"/>
  <c r="V92" i="453"/>
  <c r="M92" i="453"/>
  <c r="V91" i="453"/>
  <c r="M91" i="453"/>
  <c r="V90" i="453"/>
  <c r="M90" i="453"/>
  <c r="V89" i="453"/>
  <c r="M89" i="453"/>
  <c r="V88" i="453"/>
  <c r="M88" i="453"/>
  <c r="V87" i="453"/>
  <c r="M87" i="453"/>
  <c r="V86" i="453"/>
  <c r="M86" i="453"/>
  <c r="V85" i="453"/>
  <c r="M85" i="453"/>
  <c r="V84" i="453"/>
  <c r="M84" i="453"/>
  <c r="V83" i="453"/>
  <c r="M83" i="453"/>
  <c r="V82" i="453"/>
  <c r="M82" i="453"/>
  <c r="V81" i="453"/>
  <c r="M81" i="453"/>
  <c r="V80" i="453"/>
  <c r="M80" i="453"/>
  <c r="V79" i="453"/>
  <c r="M79" i="453"/>
  <c r="V78" i="453"/>
  <c r="M78" i="453"/>
  <c r="V77" i="453"/>
  <c r="M77" i="453"/>
  <c r="V76" i="453"/>
  <c r="M76" i="453"/>
  <c r="V75" i="453"/>
  <c r="M75" i="453"/>
  <c r="V74" i="453"/>
  <c r="M74" i="453"/>
  <c r="V73" i="453"/>
  <c r="M73" i="453"/>
  <c r="V72" i="453"/>
  <c r="M72" i="453"/>
  <c r="V71" i="453"/>
  <c r="M71" i="453"/>
  <c r="V70" i="453"/>
  <c r="M70" i="453"/>
  <c r="V69" i="453"/>
  <c r="M69" i="453"/>
  <c r="V68" i="453"/>
  <c r="M68" i="453"/>
  <c r="V67" i="453"/>
  <c r="M67" i="453"/>
  <c r="V66" i="453"/>
  <c r="M66" i="453"/>
  <c r="V65" i="453"/>
  <c r="M65" i="453"/>
  <c r="V64" i="453"/>
  <c r="M64" i="453"/>
  <c r="V63" i="453"/>
  <c r="M63" i="453"/>
  <c r="V62" i="453"/>
  <c r="M62" i="453"/>
  <c r="V61" i="453"/>
  <c r="M61" i="453"/>
  <c r="V60" i="453"/>
  <c r="M60" i="453"/>
  <c r="V59" i="453"/>
  <c r="M59" i="453"/>
  <c r="V58" i="453"/>
  <c r="M58" i="453"/>
  <c r="V57" i="453"/>
  <c r="M57" i="453"/>
  <c r="V56" i="453"/>
  <c r="M56" i="453"/>
  <c r="V55" i="453"/>
  <c r="M55" i="453"/>
  <c r="V54" i="453"/>
  <c r="M54" i="453"/>
  <c r="V53" i="453"/>
  <c r="M53" i="453"/>
  <c r="V52" i="453"/>
  <c r="M52" i="453"/>
  <c r="V51" i="453"/>
  <c r="M51" i="453"/>
  <c r="V50" i="453"/>
  <c r="M50" i="453"/>
  <c r="V49" i="453"/>
  <c r="M49" i="453"/>
  <c r="V48" i="453"/>
  <c r="M48" i="453"/>
  <c r="V47" i="453"/>
  <c r="M47" i="453"/>
  <c r="V46" i="453"/>
  <c r="M46" i="453"/>
  <c r="V45" i="453"/>
  <c r="M45" i="453"/>
  <c r="V44" i="453"/>
  <c r="M44" i="453"/>
  <c r="V43" i="453"/>
  <c r="M43" i="453"/>
  <c r="V42" i="453"/>
  <c r="M42" i="453"/>
  <c r="V41" i="453"/>
  <c r="M41" i="453"/>
  <c r="V40" i="453"/>
  <c r="M40" i="453"/>
  <c r="V39" i="453"/>
  <c r="M39" i="453"/>
  <c r="V38" i="453"/>
  <c r="M38" i="453"/>
  <c r="V37" i="453"/>
  <c r="M37" i="453"/>
  <c r="V36" i="453"/>
  <c r="M36" i="453"/>
  <c r="V35" i="453"/>
  <c r="M35" i="453"/>
  <c r="V34" i="453"/>
  <c r="M34" i="453"/>
  <c r="V33" i="453"/>
  <c r="M33" i="453"/>
  <c r="V32" i="453"/>
  <c r="M32" i="453"/>
  <c r="V31" i="453"/>
  <c r="M31" i="453"/>
  <c r="V30" i="453"/>
  <c r="M30" i="453"/>
  <c r="V29" i="453"/>
  <c r="M29" i="453"/>
  <c r="V28" i="453"/>
  <c r="M28" i="453"/>
  <c r="V27" i="453"/>
  <c r="M27" i="453"/>
  <c r="V26" i="453"/>
  <c r="M26" i="453"/>
  <c r="V25" i="453"/>
  <c r="M25" i="453"/>
  <c r="V24" i="453"/>
  <c r="M24" i="453"/>
  <c r="V23" i="453"/>
  <c r="M23" i="453"/>
  <c r="V22" i="453"/>
  <c r="M22" i="453"/>
  <c r="V21" i="453"/>
  <c r="M21" i="453"/>
  <c r="V20" i="453"/>
  <c r="M20" i="453"/>
  <c r="V19" i="453"/>
  <c r="M19" i="453"/>
  <c r="V18" i="453"/>
  <c r="M18" i="453"/>
  <c r="V17" i="453"/>
  <c r="M17" i="453"/>
  <c r="V16" i="453"/>
  <c r="M16" i="453"/>
  <c r="V15" i="453"/>
  <c r="M15" i="453"/>
  <c r="V14" i="453"/>
  <c r="M14" i="453"/>
  <c r="V13" i="453"/>
  <c r="M13" i="453"/>
  <c r="V12" i="453"/>
  <c r="M12" i="453"/>
  <c r="V11" i="453"/>
  <c r="M11" i="453"/>
  <c r="V10" i="453"/>
  <c r="M10" i="453"/>
  <c r="V9" i="453"/>
  <c r="M9" i="453"/>
  <c r="V8" i="453"/>
  <c r="M8" i="453"/>
  <c r="V7" i="453"/>
  <c r="M7" i="453"/>
  <c r="V6" i="453"/>
  <c r="M6" i="453"/>
  <c r="M4" i="453"/>
  <c r="C2" i="453"/>
  <c r="B3" i="118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5" i="118" l="1"/>
  <c r="G7" i="118"/>
  <c r="G9" i="118"/>
  <c r="G6" i="118"/>
  <c r="G8" i="118"/>
  <c r="G4" i="118"/>
  <c r="E3" i="118"/>
  <c r="I205" i="145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G3" i="118" l="1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B4" i="145"/>
</calcChain>
</file>

<file path=xl/sharedStrings.xml><?xml version="1.0" encoding="utf-8"?>
<sst xmlns="http://schemas.openxmlformats.org/spreadsheetml/2006/main" count="1374" uniqueCount="761">
  <si>
    <t>*초기데이터</t>
    <phoneticPr fontId="6" type="noConversion"/>
  </si>
  <si>
    <t>NO</t>
    <phoneticPr fontId="6" type="noConversion"/>
  </si>
  <si>
    <t>*변경이력</t>
    <phoneticPr fontId="6" type="noConversion"/>
  </si>
  <si>
    <t>변경내용</t>
    <phoneticPr fontId="6" type="noConversion"/>
  </si>
  <si>
    <t>변경자</t>
    <phoneticPr fontId="6" type="noConversion"/>
  </si>
  <si>
    <t>변경일자</t>
    <phoneticPr fontId="6" type="noConversion"/>
  </si>
  <si>
    <t>설명</t>
    <phoneticPr fontId="6" type="noConversion"/>
  </si>
  <si>
    <t>시스템명</t>
    <phoneticPr fontId="6" type="noConversion"/>
  </si>
  <si>
    <t>테이블명</t>
    <phoneticPr fontId="6" type="noConversion"/>
  </si>
  <si>
    <t>작성자</t>
    <phoneticPr fontId="6" type="noConversion"/>
  </si>
  <si>
    <t>승인자</t>
    <phoneticPr fontId="6" type="noConversion"/>
  </si>
  <si>
    <t>작성일</t>
    <phoneticPr fontId="6" type="noConversion"/>
  </si>
  <si>
    <t>컬럼명</t>
    <phoneticPr fontId="6" type="noConversion"/>
  </si>
  <si>
    <t>속성명</t>
    <phoneticPr fontId="6" type="noConversion"/>
  </si>
  <si>
    <t>데이터 타입</t>
    <phoneticPr fontId="6" type="noConversion"/>
  </si>
  <si>
    <t>길이</t>
    <phoneticPr fontId="6" type="noConversion"/>
  </si>
  <si>
    <t>기본값</t>
    <phoneticPr fontId="6" type="noConversion"/>
  </si>
  <si>
    <t>참조키</t>
    <phoneticPr fontId="6" type="noConversion"/>
  </si>
  <si>
    <t>승인일</t>
    <phoneticPr fontId="6" type="noConversion"/>
  </si>
  <si>
    <t>테이블명</t>
    <phoneticPr fontId="10" type="noConversion"/>
  </si>
  <si>
    <t>컬럼명</t>
    <phoneticPr fontId="10" type="noConversion"/>
  </si>
  <si>
    <t>drop</t>
    <phoneticPr fontId="10" type="noConversion"/>
  </si>
  <si>
    <t>create</t>
    <phoneticPr fontId="10" type="noConversion"/>
  </si>
  <si>
    <t>nextval</t>
    <phoneticPr fontId="10" type="noConversion"/>
  </si>
  <si>
    <t>테이블 정의서</t>
    <phoneticPr fontId="6" type="noConversion"/>
  </si>
  <si>
    <t>널여부</t>
    <phoneticPr fontId="6" type="noConversion"/>
  </si>
  <si>
    <t>기본키</t>
    <phoneticPr fontId="6" type="noConversion"/>
  </si>
  <si>
    <t>1</t>
    <phoneticPr fontId="6" type="noConversion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</si>
  <si>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</si>
  <si>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</si>
  <si>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</si>
  <si>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</si>
  <si>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</si>
  <si>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</si>
  <si>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</si>
  <si>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</si>
  <si>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</si>
  <si>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</si>
  <si>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</si>
  <si>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</si>
  <si>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</si>
  <si>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</si>
  <si>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</si>
  <si>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</si>
  <si>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</si>
  <si>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</si>
  <si>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</si>
  <si>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</si>
  <si>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</si>
  <si>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</si>
  <si>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</si>
  <si>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</si>
  <si>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</si>
  <si>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</si>
  <si>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</si>
  <si>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</si>
  <si>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</si>
  <si>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</si>
  <si>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</si>
  <si>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</si>
  <si>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</si>
  <si>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</si>
  <si>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</si>
  <si>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</si>
  <si>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</si>
  <si>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</si>
  <si>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</si>
  <si>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</si>
  <si>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</si>
  <si>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</si>
  <si>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</si>
  <si>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</si>
  <si>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</si>
  <si>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0" type="noConversion"/>
  </si>
  <si>
    <t>시퀀스명
길이</t>
    <phoneticPr fontId="6" type="noConversion"/>
  </si>
  <si>
    <t>생성 script</t>
    <phoneticPr fontId="10" type="noConversion"/>
  </si>
  <si>
    <t>속성명</t>
    <phoneticPr fontId="10" type="noConversion"/>
  </si>
  <si>
    <t>N</t>
    <phoneticPr fontId="10" type="noConversion"/>
  </si>
  <si>
    <t>번호</t>
    <phoneticPr fontId="10" type="noConversion"/>
  </si>
  <si>
    <t>시퀀스 목록</t>
    <phoneticPr fontId="15" type="noConversion"/>
  </si>
  <si>
    <t>번호</t>
    <phoneticPr fontId="6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</si>
  <si>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</si>
  <si>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</si>
  <si>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</si>
  <si>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</si>
  <si>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</si>
  <si>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</si>
  <si>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</si>
  <si>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</si>
  <si>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</si>
  <si>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</si>
  <si>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</si>
  <si>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</si>
  <si>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</si>
  <si>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</si>
  <si>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</si>
  <si>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</si>
  <si>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</si>
  <si>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</si>
  <si>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</si>
  <si>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</si>
  <si>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</si>
  <si>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</si>
  <si>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</si>
  <si>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</si>
  <si>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</si>
  <si>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</si>
  <si>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</si>
  <si>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</si>
  <si>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</si>
  <si>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</si>
  <si>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</si>
  <si>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</si>
  <si>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</si>
  <si>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</si>
  <si>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</si>
  <si>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</si>
  <si>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</si>
  <si>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</si>
  <si>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</si>
  <si>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</si>
  <si>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</si>
  <si>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</si>
  <si>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</si>
  <si>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</si>
  <si>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</si>
  <si>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</si>
  <si>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</si>
  <si>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</si>
  <si>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</si>
  <si>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</si>
  <si>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</si>
  <si>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</si>
  <si>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</si>
  <si>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</si>
  <si>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인덱스 TS</t>
    <phoneticPr fontId="6" type="noConversion"/>
  </si>
  <si>
    <t>데이터 TS</t>
    <phoneticPr fontId="6" type="noConversion"/>
  </si>
  <si>
    <t>시퀀스명</t>
    <phoneticPr fontId="10" type="noConversion"/>
  </si>
  <si>
    <t>DEFAULT</t>
  </si>
  <si>
    <t>시작값</t>
    <phoneticPr fontId="6" type="noConversion"/>
  </si>
  <si>
    <t>증가값</t>
    <phoneticPr fontId="6" type="noConversion"/>
  </si>
  <si>
    <t>테이블 목록</t>
    <phoneticPr fontId="15" type="noConversion"/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</si>
  <si>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</si>
  <si>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</si>
  <si>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</si>
  <si>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</si>
  <si>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</si>
  <si>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</si>
  <si>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</si>
  <si>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</si>
  <si>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</si>
  <si>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</si>
  <si>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</si>
  <si>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</si>
  <si>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</si>
  <si>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</si>
  <si>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</si>
  <si>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</si>
  <si>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</si>
  <si>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</si>
  <si>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</si>
  <si>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</si>
  <si>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</si>
  <si>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</si>
  <si>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</si>
  <si>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</si>
  <si>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</si>
  <si>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</si>
  <si>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</si>
  <si>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</si>
  <si>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</si>
  <si>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</si>
  <si>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</si>
  <si>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</si>
  <si>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</si>
  <si>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</si>
  <si>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</si>
  <si>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</si>
  <si>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</si>
  <si>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</si>
  <si>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</si>
  <si>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</si>
  <si>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</si>
  <si>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</si>
  <si>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</si>
  <si>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</si>
  <si>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</si>
  <si>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</si>
  <si>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</si>
  <si>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</si>
  <si>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</si>
  <si>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</si>
  <si>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</si>
  <si>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</si>
  <si>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</si>
  <si>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</si>
  <si>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</si>
  <si>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</si>
  <si>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</si>
  <si>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</si>
  <si>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</si>
  <si>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</si>
  <si>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</si>
  <si>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</si>
  <si>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</si>
  <si>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</si>
  <si>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</si>
  <si>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</si>
  <si>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</si>
  <si>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</si>
  <si>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</si>
  <si>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</si>
  <si>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</si>
  <si>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</si>
  <si>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</si>
  <si>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</si>
  <si>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</si>
  <si>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</si>
  <si>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</si>
  <si>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</si>
  <si>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</si>
  <si>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</si>
  <si>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</si>
  <si>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</si>
  <si>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</si>
  <si>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</si>
  <si>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</si>
  <si>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</si>
  <si>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</si>
  <si>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</si>
  <si>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</si>
  <si>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</si>
  <si>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</si>
  <si>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</si>
  <si>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</si>
  <si>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</si>
  <si>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</si>
  <si>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</si>
  <si>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</si>
  <si>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</si>
  <si>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</si>
  <si>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</si>
  <si>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</si>
  <si>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</si>
  <si>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</si>
  <si>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</si>
  <si>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5" type="noConversion"/>
  </si>
  <si>
    <t>박병환</t>
    <phoneticPr fontId="6" type="noConversion"/>
  </si>
  <si>
    <t>TSKH01</t>
  </si>
  <si>
    <t>개정내용</t>
    <phoneticPr fontId="10" type="noConversion"/>
  </si>
  <si>
    <t>개정일</t>
    <phoneticPr fontId="10" type="noConversion"/>
  </si>
  <si>
    <t>1.0</t>
    <phoneticPr fontId="10" type="noConversion"/>
  </si>
  <si>
    <t>신규 작성</t>
    <phoneticPr fontId="10" type="noConversion"/>
  </si>
  <si>
    <t>박병환</t>
    <phoneticPr fontId="6" type="noConversion"/>
  </si>
  <si>
    <t>시스템 정보</t>
    <phoneticPr fontId="6" type="noConversion"/>
  </si>
  <si>
    <t>시스템 한글명</t>
    <phoneticPr fontId="6" type="noConversion"/>
  </si>
  <si>
    <t>시스템 영문명</t>
    <phoneticPr fontId="6" type="noConversion"/>
  </si>
  <si>
    <t>시스템명 약자</t>
    <phoneticPr fontId="6" type="noConversion"/>
  </si>
  <si>
    <t>데이터베이스 정보</t>
    <phoneticPr fontId="6" type="noConversion"/>
  </si>
  <si>
    <t>DB서버 IP</t>
    <phoneticPr fontId="6" type="noConversion"/>
  </si>
  <si>
    <t>서비스명</t>
    <phoneticPr fontId="6" type="noConversion"/>
  </si>
  <si>
    <t>데이터 테이블스페이스명</t>
    <phoneticPr fontId="6" type="noConversion"/>
  </si>
  <si>
    <t>인덱스 테이블스페이스명</t>
    <phoneticPr fontId="6" type="noConversion"/>
  </si>
  <si>
    <t>박 병 환</t>
    <phoneticPr fontId="6" type="noConversion"/>
  </si>
  <si>
    <t>엔터티명</t>
    <phoneticPr fontId="6" type="noConversion"/>
  </si>
  <si>
    <t>INDEX NAME</t>
    <phoneticPr fontId="10" type="noConversion"/>
  </si>
  <si>
    <t>TABLE NAME</t>
    <phoneticPr fontId="10" type="noConversion"/>
  </si>
  <si>
    <t>Columns</t>
    <phoneticPr fontId="10" type="noConversion"/>
  </si>
  <si>
    <t>TABLESPACE</t>
    <phoneticPr fontId="10" type="noConversion"/>
  </si>
  <si>
    <t>CTPRVN_SE,RN,EUPMYUN</t>
    <phoneticPr fontId="6" type="noConversion"/>
  </si>
  <si>
    <t>*.컬럼이 두개 이상이면 Comma로 구분.</t>
    <phoneticPr fontId="6" type="noConversion"/>
  </si>
  <si>
    <t>구분시트 겸 일괄 코멘트</t>
    <phoneticPr fontId="6" type="noConversion"/>
  </si>
  <si>
    <t xml:space="preserve"> ASC ) ON [PRIMARY]  )</t>
    <phoneticPr fontId="6" type="noConversion"/>
  </si>
  <si>
    <t>버퍼 풀</t>
    <phoneticPr fontId="6" type="noConversion"/>
  </si>
  <si>
    <t>자동증가</t>
    <phoneticPr fontId="6" type="noConversion"/>
  </si>
  <si>
    <t>VARCHAR</t>
    <phoneticPr fontId="6" type="noConversion"/>
  </si>
  <si>
    <t>전화번호</t>
    <phoneticPr fontId="6" type="noConversion"/>
  </si>
  <si>
    <t>EXEC sp_addextendedproperty N'MS_Description', N'회원',                                                          N'schema', N'dbo', N'table', N'WBPS_MEMBER_T';                  -- 테이블</t>
  </si>
  <si>
    <t>EXEC sp_addextendedproperty N'MS_Description', N'회원번호(자동증가)',                                            N'schema', N'dbo', N'table', N'WBPS_MEMBER_T', N'column', N'MEMBER_NO';           -- 컬럼</t>
  </si>
  <si>
    <t>EXEC sp_addextendedproperty N'MS_Description', N'회원아이디',                                                    N'schema', N'dbo', N'table', N'WBPS_MEMBER_T', N'column', N'MEMBER_ID';           -- 컬럼</t>
  </si>
  <si>
    <t>EXEC sp_addextendedproperty N'MS_Description', N'회원명',                                                        N'schema', N'dbo', N'table', N'WBPS_MEMBER_T', N'column', N'MEMBER_NAME';         -- 컬럼</t>
  </si>
  <si>
    <t>EXEC sp_addextendedproperty N'MS_Description', N'비밀번호(pwdencrypt)',                                          N'schema', N'dbo', N'table', N'WBPS_MEMBER_T', N'column', N'MEMBER_PASSWORD';     -- 컬럼</t>
  </si>
  <si>
    <t>EXEC sp_addextendedproperty N'MS_Description', N'임시비밀번호',                                                  N'schema', N'dbo', N'table', N'WBPS_MEMBER_T', N'column', N'TEMP_PASSWORD';       -- 컬럼</t>
  </si>
  <si>
    <t>EXEC sp_addextendedproperty N'MS_Description', N'이메일',                                                        N'schema', N'dbo', N'table', N'WBPS_MEMBER_T', N'column', N'EMAIL';               -- 컬럼</t>
  </si>
  <si>
    <t>EXEC sp_addextendedproperty N'MS_Description', N'이메일아이디',                                                  N'schema', N'dbo', N'table', N'WBPS_MEMBER_T', N'column', N'EMAIL_ID';            -- 컬럼</t>
  </si>
  <si>
    <t>EXEC sp_addextendedproperty N'MS_Description', N'이메일도메인',                                                  N'schema', N'dbo', N'table', N'WBPS_MEMBER_T', N'column', N'EMAIL_DOMAIN';        -- 컬럼</t>
  </si>
  <si>
    <t>EXEC sp_addextendedproperty N'MS_Description', N'핸드폰',                                                        N'schema', N'dbo', N'table', N'WBPS_MEMBER_T', N'column', N'HAND_PHONE';          -- 컬럼</t>
  </si>
  <si>
    <t>EXEC sp_addextendedproperty N'MS_Description', N'핸드폰1',                                                       N'schema', N'dbo', N'table', N'WBPS_MEMBER_T', N'column', N'HAND_PHONE_A';        -- 컬럼</t>
  </si>
  <si>
    <t>EXEC sp_addextendedproperty N'MS_Description', N'핸드폰2',                                                       N'schema', N'dbo', N'table', N'WBPS_MEMBER_T', N'column', N'HAND_PHONE_B';        -- 컬럼</t>
  </si>
  <si>
    <t>EXEC sp_addextendedproperty N'MS_Description', N'핸드폰3',                                                       N'schema', N'dbo', N'table', N'WBPS_MEMBER_T', N'column', N'HAND_PHONE_C';        -- 컬럼</t>
  </si>
  <si>
    <t>EXEC sp_addextendedproperty N'MS_Description', N'성별(F:여성,M:남성)',                                           N'schema', N'dbo', N'table', N'WBPS_MEMBER_T', N'column', N'SEX';                 -- 컬럼</t>
  </si>
  <si>
    <t>EXEC sp_addextendedproperty N'MS_Description', N'생년월일',                                                      N'schema', N'dbo', N'table', N'WBPS_MEMBER_T', N'column', N'BIRTH_YYYYMMDD';      -- 컬럼</t>
  </si>
  <si>
    <t>EXEC sp_addextendedproperty N'MS_Description', N'생년',                                                          N'schema', N'dbo', N'table', N'WBPS_MEMBER_T', N'column', N'BIRTH_YYYY';          -- 컬럼</t>
  </si>
  <si>
    <t>EXEC sp_addextendedproperty N'MS_Description', N'생월',                                                          N'schema', N'dbo', N'table', N'WBPS_MEMBER_T', N'column', N'BIRTH_MM';            -- 컬럼</t>
  </si>
  <si>
    <t>EXEC sp_addextendedproperty N'MS_Description', N'생일',                                                          N'schema', N'dbo', N'table', N'WBPS_MEMBER_T', N'column', N'BIRTH_DD';            -- 컬럼</t>
  </si>
  <si>
    <t>EXEC sp_addextendedproperty N'MS_Description', N'도메인명',                                                      N'schema', N'dbo', N'table', N'WBPS_MEMBER_T', N'column', N'DOMAIN_NAME';         -- 컬럼</t>
  </si>
  <si>
    <t>EXEC sp_addextendedproperty N'MS_Description', N'이용약관여부(Y:동의)',                                          N'schema', N'dbo', N'table', N'WBPS_MEMBER_T', N'column', N'AGREEMENT_AT';        -- 컬럼</t>
  </si>
  <si>
    <t>EXEC sp_addextendedproperty N'MS_Description', N'개인정보수집여부(Y:동의)',                                      N'schema', N'dbo', N'table', N'WBPS_MEMBER_T', N'column', N'PIC_AT';              -- 컬럼</t>
  </si>
  <si>
    <t>EXEC sp_addextendedproperty N'MS_Description', N'개인정보제공여부(Y:동의)',                                      N'schema', N'dbo', N'table', N'WBPS_MEMBER_T', N'column', N'PIP_AT';              -- 컬럼</t>
  </si>
  <si>
    <t>EXEC sp_addextendedproperty N'MS_Description', N'탈퇴여부(Y:탈퇴)',                                              N'schema', N'dbo', N'table', N'WBPS_MEMBER_T', N'column', N'DEL_AT';              -- 컬럼</t>
  </si>
  <si>
    <t>EXEC sp_addextendedproperty N'MS_Description', N'접속호스트',                                                    N'schema', N'dbo', N'table', N'WBPS_MEMBER_T', N'column', N'REMOTE_HOST';         -- 컬럼</t>
  </si>
  <si>
    <t>EXEC sp_addextendedproperty N'MS_Description', N'작성자번호',                                                    N'schema', N'dbo', N'table', N'WBPS_MEMBER_T', N'column', N'CREATE_USER_NO';      -- 컬럼</t>
  </si>
  <si>
    <t>EXEC sp_addextendedproperty N'MS_Description', N'작성자아이디',                                                  N'schema', N'dbo', N'table', N'WBPS_MEMBER_T', N'column', N'CREATE_USER_ID';      -- 컬럼</t>
  </si>
  <si>
    <t>EXEC sp_addextendedproperty N'MS_Description', N'작성자명',                                                      N'schema', N'dbo', N'table', N'WBPS_MEMBER_T', N'column', N'CREATE_USER_NAME';    -- 컬럼</t>
  </si>
  <si>
    <t>EXEC sp_addextendedproperty N'MS_Description', N'작성일자',                                                      N'schema', N'dbo', N'table', N'WBPS_MEMBER_T', N'column', N'CREATE_DT';           -- 컬럼</t>
  </si>
  <si>
    <t>EXEC sp_addextendedproperty N'MS_Description', N'수정자번호',                                                    N'schema', N'dbo', N'table', N'WBPS_MEMBER_T', N'column', N'UPDATE_USER_NO';      -- 컬럼</t>
  </si>
  <si>
    <t>EXEC sp_addextendedproperty N'MS_Description', N'수정자아이디',                                                  N'schema', N'dbo', N'table', N'WBPS_MEMBER_T', N'column', N'UPDATE_USER_ID';      -- 컬럼</t>
  </si>
  <si>
    <t>EXEC sp_addextendedproperty N'MS_Description', N'수정자명',                                                      N'schema', N'dbo', N'table', N'WBPS_MEMBER_T', N'column', N'UPDATE_USER_NAME';    -- 컬럼</t>
  </si>
  <si>
    <t>EXEC sp_addextendedproperty N'MS_Description', N'수정일자',                                                      N'schema', N'dbo', N'table', N'WBPS_MEMBER_T', N'column', N'UPDATE_DT';           -- 컬럼</t>
  </si>
  <si>
    <t>EXEC sp_addextendedproperty N'MS_Description', N'게시판',                                                        N'schema', N'dbo', N'table', N'WBPS_BBS_T';                -- 테이블</t>
  </si>
  <si>
    <t>EXEC sp_addextendedproperty N'MS_Description', N'게시판아이디',                                                  N'schema', N'dbo', N'table', N'WBPS_BBS_T', N'column', N'BBS_ID';              -- 컬럼</t>
  </si>
  <si>
    <t>EXEC sp_addextendedproperty N'MS_Description', N'게시판명',                                                      N'schema', N'dbo', N'table', N'WBPS_BBS_T', N'column', N'BBS_NAME';            -- 컬럼</t>
  </si>
  <si>
    <t>EXEC sp_addextendedproperty N'MS_Description', N'일반사용여부(Y,N)',                                             N'schema', N'dbo', N'table', N'WBPS_BBS_T', N'column', N'GUSE_AT';             -- 컬럼</t>
  </si>
  <si>
    <t>EXEC sp_addextendedproperty N'MS_Description', N'일반등록여부(Y,N)',                                             N'schema', N'dbo', N'table', N'WBPS_BBS_T', N'column', N'GWRITE_AT';           -- 컬럼</t>
  </si>
  <si>
    <t>EXEC sp_addextendedproperty N'MS_Description', N'회원등록여부(Y,N)',                                             N'schema', N'dbo', N'table', N'WBPS_BBS_T', N'column', N'MWRITE_AT';           -- 컬럼</t>
  </si>
  <si>
    <t>EXEC sp_addextendedproperty N'MS_Description', N'이메일사용여부',                                                N'schema', N'dbo', N'table', N'WBPS_BBS_T', N'column', N'EMAIL_AT';            -- 컬럼</t>
  </si>
  <si>
    <t>EXEC sp_addextendedproperty N'MS_Description', N'홈페이지사용여부(Y,N)',                                         N'schema', N'dbo', N'table', N'WBPS_BBS_T', N'column', N'HMPG_AT';             -- 컬럼</t>
  </si>
  <si>
    <t>EXEC sp_addextendedproperty N'MS_Description', N'답변사용여부(Y,N)',                                             N'schema', N'dbo', N'table', N'WBPS_BBS_T', N'column', N'QNA_AT';              -- 컬럼</t>
  </si>
  <si>
    <t>EXEC sp_addextendedproperty N'MS_Description', N'댓글사용여부(Y,N)',                                             N'schema', N'dbo', N'table', N'WBPS_BBS_T', N'column', N'REPLY_AT';            -- 컬럼</t>
  </si>
  <si>
    <t>EXEC sp_addextendedproperty N'MS_Description', N'비밀글사용여부(Y,N)',                                           N'schema', N'dbo', N'table', N'WBPS_BBS_T', N'column', N'SECRET_AT';           -- 컬럼</t>
  </si>
  <si>
    <t>EXEC sp_addextendedproperty N'MS_Description', N'사진사용여부(Y,N)',                                             N'schema', N'dbo', N'table', N'WBPS_BBS_T', N'column', N'FILE_AT';             -- 컬럼</t>
  </si>
  <si>
    <t>EXEC sp_addextendedproperty N'MS_Description', N'사용여부(Y,N)',                                                 N'schema', N'dbo', N'table', N'WBPS_BBS_T', N'column', N'USE_AT';              -- 컬럼</t>
  </si>
  <si>
    <t>EXEC sp_addextendedproperty N'MS_Description', N'도메인명',                                                      N'schema', N'dbo', N'table', N'WBPS_BBS_T', N'column', N'DOMAIN_NAME';         -- 컬럼</t>
  </si>
  <si>
    <t>EXEC sp_addextendedproperty N'MS_Description', N'접속호스트',                                                    N'schema', N'dbo', N'table', N'WBPS_BBS_T', N'column', N'REMOTE_HOST';         -- 컬럼</t>
  </si>
  <si>
    <t>EXEC sp_addextendedproperty N'MS_Description', N'작성자번호',                                                    N'schema', N'dbo', N'table', N'WBPS_BBS_T', N'column', N'CREATE_USER_NO';      -- 컬럼</t>
  </si>
  <si>
    <t>EXEC sp_addextendedproperty N'MS_Description', N'작성자아이디',                                                  N'schema', N'dbo', N'table', N'WBPS_BBS_T', N'column', N'CREATE_USER_ID';      -- 컬럼</t>
  </si>
  <si>
    <t>EXEC sp_addextendedproperty N'MS_Description', N'작성자명',                                                      N'schema', N'dbo', N'table', N'WBPS_BBS_T', N'column', N'CREATE_USER_NAME';    -- 컬럼</t>
  </si>
  <si>
    <t>EXEC sp_addextendedproperty N'MS_Description', N'작성일자',                                                      N'schema', N'dbo', N'table', N'WBPS_BBS_T', N'column', N'CREATE_DT';           -- 컬럼</t>
  </si>
  <si>
    <t>EXEC sp_addextendedproperty N'MS_Description', N'수정자번호',                                                    N'schema', N'dbo', N'table', N'WBPS_BBS_T', N'column', N'UPDATE_USER_NO';      -- 컬럼</t>
  </si>
  <si>
    <t>EXEC sp_addextendedproperty N'MS_Description', N'수정자아이디',                                                  N'schema', N'dbo', N'table', N'WBPS_BBS_T', N'column', N'UPDATE_USER_ID';      -- 컬럼</t>
  </si>
  <si>
    <t>EXEC sp_addextendedproperty N'MS_Description', N'수정자명',                                                      N'schema', N'dbo', N'table', N'WBPS_BBS_T', N'column', N'UPDATE_USER_NAME';    -- 컬럼</t>
  </si>
  <si>
    <t>EXEC sp_addextendedproperty N'MS_Description', N'수정일자',                                                      N'schema', N'dbo', N'table', N'WBPS_BBS_T', N'column', N'UPDATE_DT';           -- 컬럼</t>
  </si>
  <si>
    <t>EXEC sp_addextendedproperty N'MS_Description', N'게시물',                                                        N'schema', N'dbo', N'table', N'WBPS_BBSDATA_T';                -- 테이블</t>
  </si>
  <si>
    <t>EXEC sp_addextendedproperty N'MS_Description', N'게시물번호(자동증가)',                                          N'schema', N'dbo', N'table', N'WBPS_BBSDATA_T', N'column', N'DATA_NO';             -- 컬럼</t>
  </si>
  <si>
    <t>EXEC sp_addextendedproperty N'MS_Description', N'게시판아이디',                                                  N'schema', N'dbo', N'table', N'WBPS_BBSDATA_T', N'column', N'BBS_ID';              -- 컬럼</t>
  </si>
  <si>
    <t>EXEC sp_addextendedproperty N'MS_Description', N'게시물타입',                                                    N'schema', N'dbo', N'table', N'WBPS_BBSDATA_T', N'column', N'DATA_TYPE';           -- 컬럼</t>
  </si>
  <si>
    <t>EXEC sp_addextendedproperty N'MS_Description', N'공지여부',                                                      N'schema', N'dbo', N'table', N'WBPS_BBSDATA_T', N'column', N'NOTICE_AT';           -- 컬럼</t>
  </si>
  <si>
    <t>EXEC sp_addextendedproperty N'MS_Description', N'비밀글여부',                                                    N'schema', N'dbo', N'table', N'WBPS_BBSDATA_T', N'column', N'SECRET_AT';           -- 컬럼</t>
  </si>
  <si>
    <t>EXEC sp_addextendedproperty N'MS_Description', N'제목',                                                          N'schema', N'dbo', N'table', N'WBPS_BBSDATA_T', N'column', N'SUBJECT';             -- 컬럼</t>
  </si>
  <si>
    <t>EXEC sp_addextendedproperty N'MS_Description', N'내용',                                                          N'schema', N'dbo', N'table', N'WBPS_BBSDATA_T', N'column', N'CONTENT';             -- 컬럼</t>
  </si>
  <si>
    <t>EXEC sp_addextendedproperty N'MS_Description', N'이메일',                                                        N'schema', N'dbo', N'table', N'WBPS_BBSDATA_T', N'column', N'EMAIL';               -- 컬럼</t>
  </si>
  <si>
    <t>EXEC sp_addextendedproperty N'MS_Description', N'홈페이지',                                                      N'schema', N'dbo', N'table', N'WBPS_BBSDATA_T', N'column', N'HMPG';                -- 컬럼</t>
  </si>
  <si>
    <t>EXEC sp_addextendedproperty N'MS_Description', N'내용형식',                                                      N'schema', N'dbo', N'table', N'WBPS_BBSDATA_T', N'column', N'FORM_ID';             -- 컬럼</t>
  </si>
  <si>
    <t>EXEC sp_addextendedproperty N'MS_Description', N'비밀번호',                                                      N'schema', N'dbo', N'table', N'WBPS_BBSDATA_T', N'column', N'DATA_PASSWORD';       -- 컬럼</t>
  </si>
  <si>
    <t>EXEC sp_addextendedproperty N'MS_Description', N'방문수',                                                        N'schema', N'dbo', N'table', N'WBPS_BBSDATA_T', N'column', N'VISIT';               -- 컬럼</t>
  </si>
  <si>
    <t>EXEC sp_addextendedproperty N'MS_Description', N'답변내용',                                                      N'schema', N'dbo', N'table', N'WBPS_BBSDATA_T', N'column', N'ANS_CONTENT';         -- 컬럼</t>
  </si>
  <si>
    <t>EXEC sp_addextendedproperty N'MS_Description', N'답변일시',                                                      N'schema', N'dbo', N'table', N'WBPS_BBSDATA_T', N'column', N'ANS_DT';              -- 컬럼</t>
  </si>
  <si>
    <t>EXEC sp_addextendedproperty N'MS_Description', N'삭제여부(Y,N)',                                                 N'schema', N'dbo', N'table', N'WBPS_BBSDATA_T', N'column', N'DEL_AT';              -- 컬럼</t>
  </si>
  <si>
    <t>EXEC sp_addextendedproperty N'MS_Description', N'도메인명',                                                      N'schema', N'dbo', N'table', N'WBPS_BBSDATA_T', N'column', N'DOMAIN_NAME';         -- 컬럼</t>
  </si>
  <si>
    <t>EXEC sp_addextendedproperty N'MS_Description', N'접속호스트',                                                    N'schema', N'dbo', N'table', N'WBPS_BBSDATA_T', N'column', N'REMOTE_HOST';         -- 컬럼</t>
  </si>
  <si>
    <t>EXEC sp_addextendedproperty N'MS_Description', N'작성자번호',                                                    N'schema', N'dbo', N'table', N'WBPS_BBSDATA_T', N'column', N'CREATE_USER_NO';      -- 컬럼</t>
  </si>
  <si>
    <t>EXEC sp_addextendedproperty N'MS_Description', N'작성자아이디',                                                  N'schema', N'dbo', N'table', N'WBPS_BBSDATA_T', N'column', N'CREATE_USER_ID';      -- 컬럼</t>
  </si>
  <si>
    <t>EXEC sp_addextendedproperty N'MS_Description', N'작성자명',                                                      N'schema', N'dbo', N'table', N'WBPS_BBSDATA_T', N'column', N'CREATE_USER_NAME';    -- 컬럼</t>
  </si>
  <si>
    <t>EXEC sp_addextendedproperty N'MS_Description', N'작성일자',                                                      N'schema', N'dbo', N'table', N'WBPS_BBSDATA_T', N'column', N'CREATE_DT';           -- 컬럼</t>
  </si>
  <si>
    <t>EXEC sp_addextendedproperty N'MS_Description', N'수정자번호',                                                    N'schema', N'dbo', N'table', N'WBPS_BBSDATA_T', N'column', N'UPDATE_USER_NO';      -- 컬럼</t>
  </si>
  <si>
    <t>EXEC sp_addextendedproperty N'MS_Description', N'수정자아이디',                                                  N'schema', N'dbo', N'table', N'WBPS_BBSDATA_T', N'column', N'UPDATE_USER_ID';      -- 컬럼</t>
  </si>
  <si>
    <t>EXEC sp_addextendedproperty N'MS_Description', N'수정자명',                                                      N'schema', N'dbo', N'table', N'WBPS_BBSDATA_T', N'column', N'UPDATE_USER_NAME';    -- 컬럼</t>
  </si>
  <si>
    <t>EXEC sp_addextendedproperty N'MS_Description', N'수정일자',                                                      N'schema', N'dbo', N'table', N'WBPS_BBSDATA_T', N'column', N'UPDATE_DT';           -- 컬럼</t>
  </si>
  <si>
    <t>EXEC sp_addextendedproperty N'MS_Description', N'게시물댓글',                                                    N'schema', N'dbo', N'table', N'WBPS_BBSCOMENT_T';            -- 테이블</t>
  </si>
  <si>
    <t>EXEC sp_addextendedproperty N'MS_Description', N'댓글번호(자동증가)',                                            N'schema', N'dbo', N'table', N'WBPS_BBSCOMENT_T', N'column', N'COMENT_NO';           -- 컬럼</t>
  </si>
  <si>
    <t>EXEC sp_addextendedproperty N'MS_Description', N'게시판아이디',                                                  N'schema', N'dbo', N'table', N'WBPS_BBSCOMENT_T', N'column', N'BBS_ID';              -- 컬럼</t>
  </si>
  <si>
    <t>EXEC sp_addextendedproperty N'MS_Description', N'게시물번호',                                                    N'schema', N'dbo', N'table', N'WBPS_BBSCOMENT_T', N'column', N'DATA_NO';             -- 컬럼</t>
  </si>
  <si>
    <t>EXEC sp_addextendedproperty N'MS_Description', N'댓글내용',                                                      N'schema', N'dbo', N'table', N'WBPS_BBSCOMENT_T', N'column', N'COMENT';              -- 컬럼</t>
  </si>
  <si>
    <t>EXEC sp_addextendedproperty N'MS_Description', N'비밀번호',                                                      N'schema', N'dbo', N'table', N'WBPS_BBSCOMENT_T', N'column', N'COMENT_PASSWORD';     -- 컬럼</t>
  </si>
  <si>
    <t>EXEC sp_addextendedproperty N'MS_Description', N'삭제여부(Y,N)',                                                 N'schema', N'dbo', N'table', N'WBPS_BBSCOMENT_T', N'column', N'DEL_AT';              -- 컬럼</t>
  </si>
  <si>
    <t>EXEC sp_addextendedproperty N'MS_Description', N'도메인명',                                                      N'schema', N'dbo', N'table', N'WBPS_BBSCOMENT_T', N'column', N'DOMAIN_NAME';         -- 컬럼</t>
  </si>
  <si>
    <t>EXEC sp_addextendedproperty N'MS_Description', N'접속호스트',                                                    N'schema', N'dbo', N'table', N'WBPS_BBSCOMENT_T', N'column', N'REMOTE_HOST';         -- 컬럼</t>
  </si>
  <si>
    <t>EXEC sp_addextendedproperty N'MS_Description', N'작성자번호',                                                    N'schema', N'dbo', N'table', N'WBPS_BBSCOMENT_T', N'column', N'CREATE_USER_NO';      -- 컬럼</t>
  </si>
  <si>
    <t>EXEC sp_addextendedproperty N'MS_Description', N'작성자아이디',                                                  N'schema', N'dbo', N'table', N'WBPS_BBSCOMENT_T', N'column', N'CREATE_USER_ID';      -- 컬럼</t>
  </si>
  <si>
    <t>EXEC sp_addextendedproperty N'MS_Description', N'작성자명',                                                      N'schema', N'dbo', N'table', N'WBPS_BBSCOMENT_T', N'column', N'CREATE_USER_NAME';    -- 컬럼</t>
  </si>
  <si>
    <t>EXEC sp_addextendedproperty N'MS_Description', N'작성일자',                                                      N'schema', N'dbo', N'table', N'WBPS_BBSCOMENT_T', N'column', N'CREATE_DT';           -- 컬럼</t>
  </si>
  <si>
    <t>EXEC sp_addextendedproperty N'MS_Description', N'수정자번호',                                                    N'schema', N'dbo', N'table', N'WBPS_BBSCOMENT_T', N'column', N'UPDATE_USER_NO';      -- 컬럼</t>
  </si>
  <si>
    <t>EXEC sp_addextendedproperty N'MS_Description', N'수정자아이디',                                                  N'schema', N'dbo', N'table', N'WBPS_BBSCOMENT_T', N'column', N'UPDATE_USER_ID';      -- 컬럼</t>
  </si>
  <si>
    <t>EXEC sp_addextendedproperty N'MS_Description', N'수정자명',                                                      N'schema', N'dbo', N'table', N'WBPS_BBSCOMENT_T', N'column', N'UPDATE_USER_NAME';    -- 컬럼</t>
  </si>
  <si>
    <t>EXEC sp_addextendedproperty N'MS_Description', N'수정일자',                                                      N'schema', N'dbo', N'table', N'WBPS_BBSCOMENT_T', N'column', N'UPDATE_DT';           -- 컬럼</t>
  </si>
  <si>
    <t>EXEC sp_addextendedproperty N'MS_Description', N'게시물파일',                                                    N'schema', N'dbo', N'table', N'WBPS_BBSFILE_T';            -- 테이블</t>
  </si>
  <si>
    <t>EXEC sp_addextendedproperty N'MS_Description', N'파일번호(수동증가)',                                            N'schema', N'dbo', N'table', N'WBPS_BBSFILE_T', N'column', N'FILE_NO';             -- 컬럼</t>
  </si>
  <si>
    <t>EXEC sp_addextendedproperty N'MS_Description', N'게시판아이디',                                                  N'schema', N'dbo', N'table', N'WBPS_BBSFILE_T', N'column', N'BBS_ID';              -- 컬럼</t>
  </si>
  <si>
    <t>EXEC sp_addextendedproperty N'MS_Description', N'게시물번호',                                                    N'schema', N'dbo', N'table', N'WBPS_BBSFILE_T', N'column', N'DATA_NO';             -- 컬럼</t>
  </si>
  <si>
    <t>EXEC sp_addextendedproperty N'MS_Description', N'파일원본명',                                                    N'schema', N'dbo', N'table', N'WBPS_BBSFILE_T', N'column', N'FILE_ORI_NAME';       -- 컬럼</t>
  </si>
  <si>
    <t>EXEC sp_addextendedproperty N'MS_Description', N'파일저장명',                                                    N'schema', N'dbo', N'table', N'WBPS_BBSFILE_T', N'column', N'FILE_SAV_NAME';       -- 컬럼</t>
  </si>
  <si>
    <t>EXEC sp_addextendedproperty N'MS_Description', N'파일경로',                                                      N'schema', N'dbo', N'table', N'WBPS_BBSFILE_T', N'column', N'FILE_PATH';           -- 컬럼</t>
  </si>
  <si>
    <t>EXEC sp_addextendedproperty N'MS_Description', N'파일사이즈',                                                    N'schema', N'dbo', N'table', N'WBPS_BBSFILE_T', N'column', N'FILE_SIZE';           -- 컬럼</t>
  </si>
  <si>
    <t>EXEC sp_addextendedproperty N'MS_Description', N'파일가로크기',                                                  N'schema', N'dbo', N'table', N'WBPS_BBSFILE_T', N'column', N'FILE_WIDTH';          -- 컬럼</t>
  </si>
  <si>
    <t>EXEC sp_addextendedproperty N'MS_Description', N'파일세로크기',                                                  N'schema', N'dbo', N'table', N'WBPS_BBSFILE_T', N'column', N'FILE_HEIGHT';         -- 컬럼</t>
  </si>
  <si>
    <t>EXEC sp_addextendedproperty N'MS_Description', N'파일다운수',                                                    N'schema', N'dbo', N'table', N'WBPS_BBSFILE_T', N'column', N'FILE_DOWN';           -- 컬럼</t>
  </si>
  <si>
    <t>EXEC sp_addextendedproperty N'MS_Description', N'삭제여부(Y,N)',                                                 N'schema', N'dbo', N'table', N'WBPS_BBSFILE_T', N'column', N'DEL_AT';              -- 컬럼</t>
  </si>
  <si>
    <t>EXEC sp_addextendedproperty N'MS_Description', N'도메인명',                                                      N'schema', N'dbo', N'table', N'WBPS_BBSFILE_T', N'column', N'DOMAIN_NAME';         -- 컬럼</t>
  </si>
  <si>
    <t>EXEC sp_addextendedproperty N'MS_Description', N'접속호스트',                                                    N'schema', N'dbo', N'table', N'WBPS_BBSFILE_T', N'column', N'REMOTE_HOST';         -- 컬럼</t>
  </si>
  <si>
    <t>EXEC sp_addextendedproperty N'MS_Description', N'작성자번호',                                                    N'schema', N'dbo', N'table', N'WBPS_BBSFILE_T', N'column', N'CREATE_USER_NO';      -- 컬럼</t>
  </si>
  <si>
    <t>EXEC sp_addextendedproperty N'MS_Description', N'작성자아이디',                                                  N'schema', N'dbo', N'table', N'WBPS_BBSFILE_T', N'column', N'CREATE_USER_ID';      -- 컬럼</t>
  </si>
  <si>
    <t>EXEC sp_addextendedproperty N'MS_Description', N'작성자명',                                                      N'schema', N'dbo', N'table', N'WBPS_BBSFILE_T', N'column', N'CREATE_USER_NAME';    -- 컬럼</t>
  </si>
  <si>
    <t>EXEC sp_addextendedproperty N'MS_Description', N'작성일자',                                                      N'schema', N'dbo', N'table', N'WBPS_BBSFILE_T', N'column', N'CREATE_DT';           -- 컬럼</t>
  </si>
  <si>
    <t>EXEC sp_addextendedproperty N'MS_Description', N'수정자번호',                                                    N'schema', N'dbo', N'table', N'WBPS_BBSFILE_T', N'column', N'UPDATE_USER_NO';      -- 컬럼</t>
  </si>
  <si>
    <t>EXEC sp_addextendedproperty N'MS_Description', N'수정자아이디',                                                  N'schema', N'dbo', N'table', N'WBPS_BBSFILE_T', N'column', N'UPDATE_USER_ID';      -- 컬럼</t>
  </si>
  <si>
    <t>EXEC sp_addextendedproperty N'MS_Description', N'수정자명',                                                      N'schema', N'dbo', N'table', N'WBPS_BBSFILE_T', N'column', N'UPDATE_USER_NAME';    -- 컬럼</t>
  </si>
  <si>
    <t>EXEC sp_addextendedproperty N'MS_Description', N'수정일자',                                                      N'schema', N'dbo', N'table', N'WBPS_BBSFILE_T', N'column', N'UPDATE_DT';           -- 컬럼</t>
  </si>
  <si>
    <t>EXEC sp_addextendedproperty N'MS_Description', N'게시물사진',                                                    N'schema', N'dbo', N'table', N'WBPS_BBSPHOTO_T';            -- 테이블</t>
  </si>
  <si>
    <t>EXEC sp_addextendedproperty N'MS_Description', N'사진번호(수동증가)',                                            N'schema', N'dbo', N'table', N'WBPS_BBSPHOTO_T', N'column', N'PHOTO_NO';            -- 컬럼</t>
  </si>
  <si>
    <t>EXEC sp_addextendedproperty N'MS_Description', N'게시판아이디',                                                  N'schema', N'dbo', N'table', N'WBPS_BBSPHOTO_T', N'column', N'BBS_ID';              -- 컬럼</t>
  </si>
  <si>
    <t>EXEC sp_addextendedproperty N'MS_Description', N'게시물번호',                                                    N'schema', N'dbo', N'table', N'WBPS_BBSPHOTO_T', N'column', N'DATA_NO';             -- 컬럼</t>
  </si>
  <si>
    <t>EXEC sp_addextendedproperty N'MS_Description', N'사진원본명',                                                    N'schema', N'dbo', N'table', N'WBPS_BBSPHOTO_T', N'column', N'PHOTO_ORI_NAME';      -- 컬럼</t>
  </si>
  <si>
    <t>EXEC sp_addextendedproperty N'MS_Description', N'사진저장명',                                                    N'schema', N'dbo', N'table', N'WBPS_BBSPHOTO_T', N'column', N'PHOTO_SAV_NAME';      -- 컬럼</t>
  </si>
  <si>
    <t>EXEC sp_addextendedproperty N'MS_Description', N'사진경로',                                                      N'schema', N'dbo', N'table', N'WBPS_BBSPHOTO_T', N'column', N'PHOTO_PATH';          -- 컬럼</t>
  </si>
  <si>
    <t>EXEC sp_addextendedproperty N'MS_Description', N'사진사이즈',                                                    N'schema', N'dbo', N'table', N'WBPS_BBSPHOTO_T', N'column', N'PHOTO_SIZE';          -- 컬럼</t>
  </si>
  <si>
    <t>EXEC sp_addextendedproperty N'MS_Description', N'사진가로크기',                                                  N'schema', N'dbo', N'table', N'WBPS_BBSPHOTO_T', N'column', N'PHOTO_WIDTH';         -- 컬럼</t>
  </si>
  <si>
    <t>EXEC sp_addextendedproperty N'MS_Description', N'사진세로크기',                                                  N'schema', N'dbo', N'table', N'WBPS_BBSPHOTO_T', N'column', N'PHOTO_HEIGHT';        -- 컬럼</t>
  </si>
  <si>
    <t>EXEC sp_addextendedproperty N'MS_Description', N'사진다운수',                                                    N'schema', N'dbo', N'table', N'WBPS_BBSPHOTO_T', N'column', N'PHOTO_DOWN';          -- 컬럼</t>
  </si>
  <si>
    <t>EXEC sp_addextendedproperty N'MS_Description', N'삭제여부(Y,N)',                                                 N'schema', N'dbo', N'table', N'WBPS_BBSPHOTO_T', N'column', N'DEL_AT';              -- 컬럼</t>
  </si>
  <si>
    <t>EXEC sp_addextendedproperty N'MS_Description', N'도메인명',                                                      N'schema', N'dbo', N'table', N'WBPS_BBSPHOTO_T', N'column', N'DOMAIN_NAME';         -- 컬럼</t>
  </si>
  <si>
    <t>EXEC sp_addextendedproperty N'MS_Description', N'접속호스트',                                                    N'schema', N'dbo', N'table', N'WBPS_BBSPHOTO_T', N'column', N'REMOTE_HOST';         -- 컬럼</t>
  </si>
  <si>
    <t>EXEC sp_addextendedproperty N'MS_Description', N'작성자번호',                                                    N'schema', N'dbo', N'table', N'WBPS_BBSPHOTO_T', N'column', N'CREATE_USER_NO';      -- 컬럼</t>
  </si>
  <si>
    <t>EXEC sp_addextendedproperty N'MS_Description', N'작성자아이디',                                                  N'schema', N'dbo', N'table', N'WBPS_BBSPHOTO_T', N'column', N'CREATE_USER_ID';      -- 컬럼</t>
  </si>
  <si>
    <t>EXEC sp_addextendedproperty N'MS_Description', N'작성자명',                                                      N'schema', N'dbo', N'table', N'WBPS_BBSPHOTO_T', N'column', N'CREATE_USER_NAME';    -- 컬럼</t>
  </si>
  <si>
    <t>EXEC sp_addextendedproperty N'MS_Description', N'작성일자',                                                      N'schema', N'dbo', N'table', N'WBPS_BBSPHOTO_T', N'column', N'CREATE_DT';           -- 컬럼</t>
  </si>
  <si>
    <t>EXEC sp_addextendedproperty N'MS_Description', N'수정자번호',                                                    N'schema', N'dbo', N'table', N'WBPS_BBSPHOTO_T', N'column', N'UPDATE_USER_NO';      -- 컬럼</t>
  </si>
  <si>
    <t>EXEC sp_addextendedproperty N'MS_Description', N'수정자아이디',                                                  N'schema', N'dbo', N'table', N'WBPS_BBSPHOTO_T', N'column', N'UPDATE_USER_ID';      -- 컬럼</t>
  </si>
  <si>
    <t>EXEC sp_addextendedproperty N'MS_Description', N'수정자명',                                                      N'schema', N'dbo', N'table', N'WBPS_BBSPHOTO_T', N'column', N'UPDATE_USER_NAME';    -- 컬럼</t>
  </si>
  <si>
    <t>EXEC sp_addextendedproperty N'MS_Description', N'수정일자',                                                      N'schema', N'dbo', N'table', N'WBPS_BBSPHOTO_T', N'column', N'UPDATE_DT';           -- 컬럼</t>
  </si>
  <si>
    <t>EXEC sp_addextendedproperty N'MS_Description', N'사이트정보',                                                    N'schema', N'dbo', N'table', N'WBPS_SITEINFO_T';            -- 테이블</t>
  </si>
  <si>
    <t>EXEC sp_addextendedproperty N'MS_Description', N'사이트번호(자동증가)',                                          N'schema', N'dbo', N'table', N'WBPS_SITEINFO_T', N'column', N'SITE_NO';             -- 컬럼</t>
  </si>
  <si>
    <t>EXEC sp_addextendedproperty N'MS_Description', N'사이트명',                                                      N'schema', N'dbo', N'table', N'WBPS_SITEINFO_T', N'column', N'SITE_NAME';           -- 컬럼</t>
  </si>
  <si>
    <t>EXEC sp_addextendedproperty N'MS_Description', N'홈페이지타이틀',                                                N'schema', N'dbo', N'table', N'WBPS_SITEINFO_T', N'column', N'SITE_TITLE';          -- 컬럼</t>
  </si>
  <si>
    <t>EXEC sp_addextendedproperty N'MS_Description', N'홈페이지로고',                                                  N'schema', N'dbo', N'table', N'WBPS_SITEINFO_T', N'column', N'SITE_LOGO_PATH';      -- 컬럼</t>
  </si>
  <si>
    <t>EXEC sp_addextendedproperty N'MS_Description', N'우편번호',                                                      N'schema', N'dbo', N'table', N'WBPS_SITEINFO_T', N'column', N'POST';                -- 컬럼</t>
  </si>
  <si>
    <t>EXEC sp_addextendedproperty N'MS_Description', N'우편번호',                                                      N'schema', N'dbo', N'table', N'WBPS_SITEINFO_T', N'column', N'POST_A';              -- 컬럼</t>
  </si>
  <si>
    <t>EXEC sp_addextendedproperty N'MS_Description', N'우편번호',                                                      N'schema', N'dbo', N'table', N'WBPS_SITEINFO_T', N'column', N'POST_B';              -- 컬럼</t>
  </si>
  <si>
    <t>EXEC sp_addextendedproperty N'MS_Description', N'주소국문',                                                      N'schema', N'dbo', N'table', N'WBPS_SITEINFO_T', N'column', N'ADDR_KOR';            -- 컬럼</t>
  </si>
  <si>
    <t>EXEC sp_addextendedproperty N'MS_Description', N'기본주소국문',                                                  N'schema', N'dbo', N'table', N'WBPS_SITEINFO_T', N'column', N'ADDR_BAS_KOR';        -- 컬럼</t>
  </si>
  <si>
    <t>EXEC sp_addextendedproperty N'MS_Description', N'상세주소국문',                                                  N'schema', N'dbo', N'table', N'WBPS_SITEINFO_T', N'column', N'ADDR_DTL_KOR';        -- 컬럼</t>
  </si>
  <si>
    <t>EXEC sp_addextendedproperty N'MS_Description', N'주소영문',                                                      N'schema', N'dbo', N'table', N'WBPS_SITEINFO_T', N'column', N'ADDR_ENG';            -- 컬럼</t>
  </si>
  <si>
    <t>EXEC sp_addextendedproperty N'MS_Description', N'기본주소영문',                                                  N'schema', N'dbo', N'table', N'WBPS_SITEINFO_T', N'column', N'ADDR_BAS_ENG';        -- 컬럼</t>
  </si>
  <si>
    <t>EXEC sp_addextendedproperty N'MS_Description', N'상세주소영문',                                                  N'schema', N'dbo', N'table', N'WBPS_SITEINFO_T', N'column', N'ADDR_DTL_ENG';        -- 컬럼</t>
  </si>
  <si>
    <t>EXEC sp_addextendedproperty N'MS_Description', N'전화번호',                                                      N'schema', N'dbo', N'table', N'WBPS_SITEINFO_T', N'column', N'TEL';                 -- 컬럼</t>
  </si>
  <si>
    <t>EXEC sp_addextendedproperty N'MS_Description', N'전화번호',                                                      N'schema', N'dbo', N'table', N'WBPS_SITEINFO_T', N'column', N'TEL_A';               -- 컬럼</t>
  </si>
  <si>
    <t>EXEC sp_addextendedproperty N'MS_Description', N'전화번호',                                                      N'schema', N'dbo', N'table', N'WBPS_SITEINFO_T', N'column', N'TEL_B';               -- 컬럼</t>
  </si>
  <si>
    <t>EXEC sp_addextendedproperty N'MS_Description', N'전화번호',                                                      N'schema', N'dbo', N'table', N'WBPS_SITEINFO_T', N'column', N'TEL_C';               -- 컬럼</t>
  </si>
  <si>
    <t>EXEC sp_addextendedproperty N'MS_Description', N'팩스번호',                                                      N'schema', N'dbo', N'table', N'WBPS_SITEINFO_T', N'column', N'FAX';                 -- 컬럼</t>
  </si>
  <si>
    <t>EXEC sp_addextendedproperty N'MS_Description', N'팩스번호',                                                      N'schema', N'dbo', N'table', N'WBPS_SITEINFO_T', N'column', N'FAX_A';               -- 컬럼</t>
  </si>
  <si>
    <t>EXEC sp_addextendedproperty N'MS_Description', N'팩스번호',                                                      N'schema', N'dbo', N'table', N'WBPS_SITEINFO_T', N'column', N'FAX_B';               -- 컬럼</t>
  </si>
  <si>
    <t>EXEC sp_addextendedproperty N'MS_Description', N'팩스번호',                                                      N'schema', N'dbo', N'table', N'WBPS_SITEINFO_T', N'column', N'FAX_C';               -- 컬럼</t>
  </si>
  <si>
    <t>EXEC sp_addextendedproperty N'MS_Description', N'이메일',                                                        N'schema', N'dbo', N'table', N'WBPS_SITEINFO_T', N'column', N'EMAIL';               -- 컬럼</t>
  </si>
  <si>
    <t>EXEC sp_addextendedproperty N'MS_Description', N'이메일아이디',                                                  N'schema', N'dbo', N'table', N'WBPS_SITEINFO_T', N'column', N'EMAIL_ID';            -- 컬럼</t>
  </si>
  <si>
    <t>EXEC sp_addextendedproperty N'MS_Description', N'이메일도메인',                                                  N'schema', N'dbo', N'table', N'WBPS_SITEINFO_T', N'column', N'EMAIL_DOMAIN';        -- 컬럼</t>
  </si>
  <si>
    <t>EXEC sp_addextendedproperty N'MS_Description', N'대표이사국문',                                                  N'schema', N'dbo', N'table', N'WBPS_SITEINFO_T', N'column', N'CEO_KOR';             -- 컬럼</t>
  </si>
  <si>
    <t>EXEC sp_addextendedproperty N'MS_Description', N'대표이사영문',                                                  N'schema', N'dbo', N'table', N'WBPS_SITEINFO_T', N'column', N'ECO_ENG';             -- 컬럼</t>
  </si>
  <si>
    <t>EXEC sp_addextendedproperty N'MS_Description', N'계좌은행',                                                      N'schema', N'dbo', N'table', N'WBPS_SITEINFO_T', N'column', N'ACCOUNT_BANK';        -- 컬럼</t>
  </si>
  <si>
    <t>EXEC sp_addextendedproperty N'MS_Description', N'계좌번호',                                                      N'schema', N'dbo', N'table', N'WBPS_SITEINFO_T', N'column', N'ACCOUNT_NUMBER';      -- 컬럼</t>
  </si>
  <si>
    <t>EXEC sp_addextendedproperty N'MS_Description', N'계좌명',                                                        N'schema', N'dbo', N'table', N'WBPS_SITEINFO_T', N'column', N'ACCOUNT_NAME';        -- 컬럼</t>
  </si>
  <si>
    <t>EXEC sp_addextendedproperty N'MS_Description', N'도메인명',                                                      N'schema', N'dbo', N'table', N'WBPS_SITEINFO_T', N'column', N'DOMAIN_NAME';         -- 컬럼</t>
  </si>
  <si>
    <t>EXEC sp_addextendedproperty N'MS_Description', N'접속호스트',                                                    N'schema', N'dbo', N'table', N'WBPS_SITEINFO_T', N'column', N'REMOTE_HOST';         -- 컬럼</t>
  </si>
  <si>
    <t>EXEC sp_addextendedproperty N'MS_Description', N'작성자번호',                                                    N'schema', N'dbo', N'table', N'WBPS_SITEINFO_T', N'column', N'CREATE_USER_NO';      -- 컬럼</t>
  </si>
  <si>
    <t>EXEC sp_addextendedproperty N'MS_Description', N'작성자아이디',                                                  N'schema', N'dbo', N'table', N'WBPS_SITEINFO_T', N'column', N'CREATE_USER_ID';      -- 컬럼</t>
  </si>
  <si>
    <t>EXEC sp_addextendedproperty N'MS_Description', N'작성자명',                                                      N'schema', N'dbo', N'table', N'WBPS_SITEINFO_T', N'column', N'CREATE_USER_NAME';    -- 컬럼</t>
  </si>
  <si>
    <t>EXEC sp_addextendedproperty N'MS_Description', N'작성일자',                                                      N'schema', N'dbo', N'table', N'WBPS_SITEINFO_T', N'column', N'CREATE_DT';           -- 컬럼</t>
  </si>
  <si>
    <t>EXEC sp_addextendedproperty N'MS_Description', N'수정자번호',                                                    N'schema', N'dbo', N'table', N'WBPS_SITEINFO_T', N'column', N'UPDATE_USER_NO';      -- 컬럼</t>
  </si>
  <si>
    <t>EXEC sp_addextendedproperty N'MS_Description', N'수정자아이디',                                                  N'schema', N'dbo', N'table', N'WBPS_SITEINFO_T', N'column', N'UPDATE_USER_ID';      -- 컬럼</t>
  </si>
  <si>
    <t>EXEC sp_addextendedproperty N'MS_Description', N'수정자명',                                                      N'schema', N'dbo', N'table', N'WBPS_SITEINFO_T', N'column', N'UPDATE_USER_NAME';    -- 컬럼</t>
  </si>
  <si>
    <t>EXEC sp_addextendedproperty N'MS_Description', N'수정일자',                                                      N'schema', N'dbo', N'table', N'WBPS_SITEINFO_T', N'column', N'UPDATE_DT';           -- 컬럼</t>
  </si>
  <si>
    <t>EXEC sp_addextendedproperty N'MS_Description', N'쇼핑몰레이아웃스킨',                                            N'schema', N'dbo', N'table', N'WBPS_PRDTCATE_T';    -- 테이블</t>
  </si>
  <si>
    <t>EXEC sp_addextendedproperty N'MS_Description', N'카테고리번호(자동증가)',                                        N'schema', N'dbo', N'table', N'WBPS_PRDTCATE_T', N'column', N'CATE_NO';             -- 컬럼</t>
  </si>
  <si>
    <t>EXEC sp_addextendedproperty N'MS_Description', N'부모카테고리(1000번부터증가)',                                  N'schema', N'dbo', N'table', N'WBPS_PRDTCATE_T', N'column', N'PRNT_ID';             -- 컬럼</t>
  </si>
  <si>
    <t>EXEC sp_addextendedproperty N'MS_Description', N'카테고리아이디',                                                N'schema', N'dbo', N'table', N'WBPS_PRDTCATE_T', N'column', N'CATE_ID';             -- 컬럼</t>
  </si>
  <si>
    <t>EXEC sp_addextendedproperty N'MS_Description', N'카테고리이름',                                                  N'schema', N'dbo', N'table', N'WBPS_PRDTCATE_T', N'column', N'CATE_NAME';           -- 컬럼</t>
  </si>
  <si>
    <t>EXEC sp_addextendedproperty N'MS_Description', N'카테고리순서',                                                  N'schema', N'dbo', N'table', N'WBPS_PRDTCATE_T', N'column', N'CAT_ORD';             -- 컬럼</t>
  </si>
  <si>
    <t>EXEC sp_addextendedproperty N'MS_Description', N'카테고리설명',                                                  N'schema', N'dbo', N'table', N'WBPS_PRDTCATE_T', N'column', N'CAT_EXPLAN';          -- 컬럼</t>
  </si>
  <si>
    <t>EXEC sp_addextendedproperty N'MS_Description', N'사용여부(Y,N)',                                                 N'schema', N'dbo', N'table', N'WBPS_PRDTCATE_T', N'column', N'USE_AT';              -- 컬럼</t>
  </si>
  <si>
    <t>EXEC sp_addextendedproperty N'MS_Description', N'도메인명',                                                      N'schema', N'dbo', N'table', N'WBPS_PRDTCATE_T', N'column', N'DOMAIN_NAME';         -- 컬럼</t>
  </si>
  <si>
    <t>EXEC sp_addextendedproperty N'MS_Description', N'접속호스트',                                                    N'schema', N'dbo', N'table', N'WBPS_PRDTCATE_T', N'column', N'REMOTE_HOST';         -- 컬럼</t>
  </si>
  <si>
    <t>EXEC sp_addextendedproperty N'MS_Description', N'작성자번호',                                                    N'schema', N'dbo', N'table', N'WBPS_PRDTCATE_T', N'column', N'CREATE_USER_NO';      -- 컬럼</t>
  </si>
  <si>
    <t>EXEC sp_addextendedproperty N'MS_Description', N'작성자아이디',                                                  N'schema', N'dbo', N'table', N'WBPS_PRDTCATE_T', N'column', N'CREATE_USER_ID';      -- 컬럼</t>
  </si>
  <si>
    <t>EXEC sp_addextendedproperty N'MS_Description', N'작성자명',                                                      N'schema', N'dbo', N'table', N'WBPS_PRDTCATE_T', N'column', N'CREATE_USER_NAME';    -- 컬럼</t>
  </si>
  <si>
    <t>EXEC sp_addextendedproperty N'MS_Description', N'작성일자',                                                      N'schema', N'dbo', N'table', N'WBPS_PRDTCATE_T', N'column', N'CREATE_DT';           -- 컬럼</t>
  </si>
  <si>
    <t>EXEC sp_addextendedproperty N'MS_Description', N'수정자번호',                                                    N'schema', N'dbo', N'table', N'WBPS_PRDTCATE_T', N'column', N'UPDATE_USER_NO';      -- 컬럼</t>
  </si>
  <si>
    <t>EXEC sp_addextendedproperty N'MS_Description', N'수정자아이디',                                                  N'schema', N'dbo', N'table', N'WBPS_PRDTCATE_T', N'column', N'UPDATE_USER_ID';      -- 컬럼</t>
  </si>
  <si>
    <t>EXEC sp_addextendedproperty N'MS_Description', N'수정자명',                                                      N'schema', N'dbo', N'table', N'WBPS_PRDTCATE_T', N'column', N'UPDATE_USER_NAME';    -- 컬럼</t>
  </si>
  <si>
    <t>EXEC sp_addextendedproperty N'MS_Description', N'수정일자',                                                      N'schema', N'dbo', N'table', N'WBPS_PRDTCATE_T', N'column', N'UPDATE_DT';           -- 컬럼</t>
  </si>
  <si>
    <t>EXEC sp_addextendedproperty N'MS_Description', N'상품',                                                          N'schema', N'dbo', N'table', N'WBPS_PRDT_T';                  -- 테이블</t>
  </si>
  <si>
    <t>EXEC sp_addextendedproperty N'MS_Description', N'상품번호(자동증가)',                                            N'schema', N'dbo', N'table', N'WBPS_PRDT_T', N'column', N'PRDT_NO';             -- 컬럼</t>
  </si>
  <si>
    <t>EXEC sp_addextendedproperty N'MS_Description', N'카테고리아이디',                                                N'schema', N'dbo', N'table', N'WBPS_PRDT_T', N'column', N'CATE_ID';             -- 컬럼</t>
  </si>
  <si>
    <t>EXEC sp_addextendedproperty N'MS_Description', N'상품아이디',                                                    N'schema', N'dbo', N'table', N'WBPS_PRDT_T', N'column', N'PRDT_ID';             -- 컬럼</t>
  </si>
  <si>
    <t>EXEC sp_addextendedproperty N'MS_Description', N'상품명',                                                        N'schema', N'dbo', N'table', N'WBPS_PRDT_T', N'column', N'PRDT_NAME';           -- 컬럼</t>
  </si>
  <si>
    <t>EXEC sp_addextendedproperty N'MS_Description', N'원산지',                                                        N'schema', N'dbo', N'table', N'WBPS_PRDT_T', N'column', N'CNTRY_NM';            -- 컬럼</t>
  </si>
  <si>
    <t>EXEC sp_addextendedproperty N'MS_Description', N'작은이미지',                                                    N'schema', N'dbo', N'table', N'WBPS_PRDT_T', N'column', N'IMG_S';               -- 컬럼</t>
  </si>
  <si>
    <t>EXEC sp_addextendedproperty N'MS_Description', N'중간이미지',                                                    N'schema', N'dbo', N'table', N'WBPS_PRDT_T', N'column', N'IMG_M';               -- 컬럼</t>
  </si>
  <si>
    <t>EXEC sp_addextendedproperty N'MS_Description', N'큰이미지',                                                      N'schema', N'dbo', N'table', N'WBPS_PRDT_T', N'column', N'IMG_B';               -- 컬럼</t>
  </si>
  <si>
    <t>EXEC sp_addextendedproperty N'MS_Description', N'상품간략설명',                                                  N'schema', N'dbo', N'table', N'WBPS_PRDT_T', N'column', N'PRDT_SMPLE';          -- 컬럼</t>
  </si>
  <si>
    <t>EXEC sp_addextendedproperty N'MS_Description', N'상품상세설명',                                                  N'schema', N'dbo', N'table', N'WBPS_PRDT_T', N'column', N'PRDT_DETAIL';         -- 컬럼</t>
  </si>
  <si>
    <t>EXEC sp_addextendedproperty N'MS_Description', N'판매가격',                                                      N'schema', N'dbo', N'table', N'WBPS_PRDT_T', N'column', N'PRICE_SALE';          -- 컬럼</t>
  </si>
  <si>
    <t>EXEC sp_addextendedproperty N'MS_Description', N'공급가격',                                                      N'schema', N'dbo', N'table', N'WBPS_PRDT_T', N'column', N'PRICE_SPLY';          -- 컬럼</t>
  </si>
  <si>
    <t>EXEC sp_addextendedproperty N'MS_Description', N'배송비(직접수령:-1)',                                           N'schema', N'dbo', N'table', N'WBPS_PRDT_T', N'column', N'PRICE_DLVRV';         -- 컬럼</t>
  </si>
  <si>
    <t>EXEC sp_addextendedproperty N'MS_Description', N'품절여부(Y,N)',                                                 N'schema', N'dbo', N'table', N'WBPS_PRDT_T', N'column', N'STOCK_AT';            -- 컬럼</t>
  </si>
  <si>
    <t>EXEC sp_addextendedproperty N'MS_Description', N'진열여부(Y,N)',                                                 N'schema', N'dbo', N'table', N'WBPS_PRDT_T', N'column', N'DISPLAY_AT';          -- 컬럼</t>
  </si>
  <si>
    <t>EXEC sp_addextendedproperty N'MS_Description', N'판매수',                                                        N'schema', N'dbo', N'table', N'WBPS_PRDT_T', N'column', N'SALE_COUNT';          -- 컬럼</t>
  </si>
  <si>
    <t>EXEC sp_addextendedproperty N'MS_Description', N'도메인명',                                                      N'schema', N'dbo', N'table', N'WBPS_PRDT_T', N'column', N'DOMAIN_NAME';         -- 컬럼</t>
  </si>
  <si>
    <t>EXEC sp_addextendedproperty N'MS_Description', N'접속호스트',                                                    N'schema', N'dbo', N'table', N'WBPS_PRDT_T', N'column', N'REMOTE_HOST';         -- 컬럼</t>
  </si>
  <si>
    <t>EXEC sp_addextendedproperty N'MS_Description', N'작성자번호',                                                    N'schema', N'dbo', N'table', N'WBPS_PRDT_T', N'column', N'CREATE_USER_NO';      -- 컬럼</t>
  </si>
  <si>
    <t>EXEC sp_addextendedproperty N'MS_Description', N'작성자아이디',                                                  N'schema', N'dbo', N'table', N'WBPS_PRDT_T', N'column', N'CREATE_USER_ID';      -- 컬럼</t>
  </si>
  <si>
    <t>EXEC sp_addextendedproperty N'MS_Description', N'작성자명',                                                      N'schema', N'dbo', N'table', N'WBPS_PRDT_T', N'column', N'CREATE_USER_NAME';    -- 컬럼</t>
  </si>
  <si>
    <t>EXEC sp_addextendedproperty N'MS_Description', N'작성일자',                                                      N'schema', N'dbo', N'table', N'WBPS_PRDT_T', N'column', N'CREATE_DT';           -- 컬럼</t>
  </si>
  <si>
    <t>EXEC sp_addextendedproperty N'MS_Description', N'수정자번호',                                                    N'schema', N'dbo', N'table', N'WBPS_PRDT_T', N'column', N'UPDATE_USER_NO';      -- 컬럼</t>
  </si>
  <si>
    <t>EXEC sp_addextendedproperty N'MS_Description', N'수정자아이디',                                                  N'schema', N'dbo', N'table', N'WBPS_PRDT_T', N'column', N'UPDATE_USER_ID';      -- 컬럼</t>
  </si>
  <si>
    <t>EXEC sp_addextendedproperty N'MS_Description', N'수정자명',                                                      N'schema', N'dbo', N'table', N'WBPS_PRDT_T', N'column', N'UPDATE_USER_NAME';    -- 컬럼</t>
  </si>
  <si>
    <t>EXEC sp_addextendedproperty N'MS_Description', N'수정일자',                                                      N'schema', N'dbo', N'table', N'WBPS_PRDT_T', N'column', N'UPDATE_DT';           -- 컬럼</t>
  </si>
  <si>
    <t>EXEC sp_addextendedproperty N'MS_Description', N'장바구니',                                                      N'schema', N'dbo', N'table', N'WBPS_PRDTBASKET_T';              -- 테이블</t>
  </si>
  <si>
    <t>EXEC sp_addextendedproperty N'MS_Description', N'장바구니번호',                                                  N'schema', N'dbo', N'table', N'WBPS_PRDTBASKET_T', N'column', N'BASKET_NO';           -- 컬럼</t>
  </si>
  <si>
    <t>EXEC sp_addextendedproperty N'MS_Description', N'장바구니아이디',                                                N'schema', N'dbo', N'table', N'WBPS_PRDTBASKET_T', N'column', N'BASKET_ID';           -- 컬럼</t>
  </si>
  <si>
    <t>EXEC sp_addextendedproperty N'MS_Description', N'회원번호',                                                      N'schema', N'dbo', N'table', N'WBPS_PRDTBASKET_T', N'column', N'MEMBER_NO';           -- 컬럼</t>
  </si>
  <si>
    <t>EXEC sp_addextendedproperty N'MS_Description', N'상품아이디',                                                    N'schema', N'dbo', N'table', N'WBPS_PRDTBASKET_T', N'column', N'PRDT_ID';             -- 컬럼</t>
  </si>
  <si>
    <t>EXEC sp_addextendedproperty N'MS_Description', N'판매가격',                                                      N'schema', N'dbo', N'table', N'WBPS_PRDTBASKET_T', N'column', N'PRICE_SALE';          -- 컬럼</t>
  </si>
  <si>
    <t>EXEC sp_addextendedproperty N'MS_Description', N'공급가격',                                                      N'schema', N'dbo', N'table', N'WBPS_PRDTBASKET_T', N'column', N'PRICE_SPLY';          -- 컬럼</t>
  </si>
  <si>
    <t>EXEC sp_addextendedproperty N'MS_Description', N'배송비(직접수령:-1)',                                           N'schema', N'dbo', N'table', N'WBPS_PRDTBASKET_T', N'column', N'PRICE_DLVRV';         -- 컬럼</t>
  </si>
  <si>
    <t>EXEC sp_addextendedproperty N'MS_Description', N'구매여부(Y,N)',                                                 N'schema', N'dbo', N'table', N'WBPS_PRDTBASKET_T', N'column', N'BUY_AT';              -- 컬럼</t>
  </si>
  <si>
    <t>EXEC sp_addextendedproperty N'MS_Description', N'도메인명',                                                      N'schema', N'dbo', N'table', N'WBPS_PRDTBASKET_T', N'column', N'DOMAIN_NAME';         -- 컬럼</t>
  </si>
  <si>
    <t>EXEC sp_addextendedproperty N'MS_Description', N'접속호스트',                                                    N'schema', N'dbo', N'table', N'WBPS_PRDTBASKET_T', N'column', N'REMOTE_HOST';         -- 컬럼</t>
  </si>
  <si>
    <t>EXEC sp_addextendedproperty N'MS_Description', N'작성자번호',                                                    N'schema', N'dbo', N'table', N'WBPS_PRDTBASKET_T', N'column', N'CREATE_USER_NO';      -- 컬럼</t>
  </si>
  <si>
    <t>EXEC sp_addextendedproperty N'MS_Description', N'작성자아이디',                                                  N'schema', N'dbo', N'table', N'WBPS_PRDTBASKET_T', N'column', N'CREATE_USER_ID';      -- 컬럼</t>
  </si>
  <si>
    <t>EXEC sp_addextendedproperty N'MS_Description', N'작성자명',                                                      N'schema', N'dbo', N'table', N'WBPS_PRDTBASKET_T', N'column', N'CREATE_USER_NAME';    -- 컬럼</t>
  </si>
  <si>
    <t>EXEC sp_addextendedproperty N'MS_Description', N'작성일자',                                                      N'schema', N'dbo', N'table', N'WBPS_PRDTBASKET_T', N'column', N'CREATE_DT';           -- 컬럼</t>
  </si>
  <si>
    <t>EXEC sp_addextendedproperty N'MS_Description', N'수정자번호',                                                    N'schema', N'dbo', N'table', N'WBPS_PRDTBASKET_T', N'column', N'UPDATE_USER_NO';      -- 컬럼</t>
  </si>
  <si>
    <t>EXEC sp_addextendedproperty N'MS_Description', N'수정자아이디',                                                  N'schema', N'dbo', N'table', N'WBPS_PRDTBASKET_T', N'column', N'UPDATE_USER_ID';      -- 컬럼</t>
  </si>
  <si>
    <t>EXEC sp_addextendedproperty N'MS_Description', N'수정자명',                                                      N'schema', N'dbo', N'table', N'WBPS_PRDTBASKET_T', N'column', N'UPDATE_USER_NAME';    -- 컬럼</t>
  </si>
  <si>
    <t>EXEC sp_addextendedproperty N'MS_Description', N'수정일자',                                                      N'schema', N'dbo', N'table', N'WBPS_PRDTBASKET_T', N'column', N'UPDATE_DT';           -- 컬럼</t>
  </si>
  <si>
    <t>EXEC sp_addextendedproperty N'MS_Description', N'주문서',                                                        N'schema', N'dbo', N'table', N'WBPS_PRDTORDER_T';                -- 테이블</t>
  </si>
  <si>
    <t>EXEC sp_addextendedproperty N'MS_Description', N'주문번호',                                                      N'schema', N'dbo', N'table', N'WBPS_PRDTORDER_T', N'column', N'ORDER_NO';            -- 컬럼</t>
  </si>
  <si>
    <t>EXEC sp_addextendedproperty N'MS_Description', N'주문아이디',                                                    N'schema', N'dbo', N'table', N'WBPS_PRDTORDER_T', N'column', N'ORDER_ID';            -- 컬럼</t>
  </si>
  <si>
    <t>EXEC sp_addextendedproperty N'MS_Description', N'판매가격총계',                                                  N'schema', N'dbo', N'table', N'WBPS_PRDTORDER_T', N'column', N'TOT_PRICE_SALE';      -- 컬럼</t>
  </si>
  <si>
    <t>EXEC sp_addextendedproperty N'MS_Description', N'공급가격총계',                                                  N'schema', N'dbo', N'table', N'WBPS_PRDTORDER_T', N'column', N'TOT_PRICE_SPLY';      -- 컬럼</t>
  </si>
  <si>
    <t>EXEC sp_addextendedproperty N'MS_Description', N'배송비총계(직접수령:-1)',                                       N'schema', N'dbo', N'table', N'WBPS_PRDTORDER_T', N'column', N'TOT_PRICE_DLVRV';     -- 컬럼</t>
  </si>
  <si>
    <t>EXEC sp_addextendedproperty N'MS_Description', N'총계',                                                          N'schema', N'dbo', N'table', N'WBPS_PRDTORDER_T', N'column', N'TOT_PRICE';           -- 컬럼</t>
  </si>
  <si>
    <t>EXEC sp_addextendedproperty N'MS_Description', N'주문비밀번호',                                                  N'schema', N'dbo', N'table', N'WBPS_PRDTORDER_T', N'column', N'ORDER_PASSWORD';      -- 컬럼</t>
  </si>
  <si>
    <t>EXEC sp_addextendedproperty N'MS_Description', N'회원번호',                                                      N'schema', N'dbo', N'table', N'WBPS_PRDTORDER_T', N'column', N'MEMBER_NO';           -- 컬럼</t>
  </si>
  <si>
    <t>EXEC sp_addextendedproperty N'MS_Description', N'구매자명',                                                      N'schema', N'dbo', N'table', N'WBPS_PRDTORDER_T', N'column', N'BUY_NAME';            -- 컬럼</t>
  </si>
  <si>
    <t>EXEC sp_addextendedproperty N'MS_Description', N'구매자연락처',                                                  N'schema', N'dbo', N'table', N'WBPS_PRDTORDER_T', N'column', N'BUY_TEL';             -- 컬럼</t>
  </si>
  <si>
    <t>EXEC sp_addextendedproperty N'MS_Description', N'구매자연락처',                                                  N'schema', N'dbo', N'table', N'WBPS_PRDTORDER_T', N'column', N'BUY_TEL_A';           -- 컬럼</t>
  </si>
  <si>
    <t>EXEC sp_addextendedproperty N'MS_Description', N'구매자연락처',                                                  N'schema', N'dbo', N'table', N'WBPS_PRDTORDER_T', N'column', N'BUY_TEL_B';           -- 컬럼</t>
  </si>
  <si>
    <t>EXEC sp_addextendedproperty N'MS_Description', N'구매자연락처',                                                  N'schema', N'dbo', N'table', N'WBPS_PRDTORDER_T', N'column', N'BUY_TEL_C';           -- 컬럼</t>
  </si>
  <si>
    <t>EXEC sp_addextendedproperty N'MS_Description', N'수령자명',                                                      N'schema', N'dbo', N'table', N'WBPS_PRDTORDER_T', N'column', N'RCV_NAME';            -- 컬럼</t>
  </si>
  <si>
    <t>EXEC sp_addextendedproperty N'MS_Description', N'수령우편번호',                                                  N'schema', N'dbo', N'table', N'WBPS_PRDTORDER_T', N'column', N'RCV_POST';            -- 컬럼</t>
  </si>
  <si>
    <t>EXEC sp_addextendedproperty N'MS_Description', N'수령지기본주소',                                                N'schema', N'dbo', N'table', N'WBPS_PRDTORDER_T', N'column', N'RCV_ADDR_BAS';        -- 컬럼</t>
  </si>
  <si>
    <t>EXEC sp_addextendedproperty N'MS_Description', N'수령지상세주소',                                                N'schema', N'dbo', N'table', N'WBPS_PRDTORDER_T', N'column', N'RCV_ADDR_DTL';        -- 컬럼</t>
  </si>
  <si>
    <t>EXEC sp_addextendedproperty N'MS_Description', N'수령자연락처',                                                  N'schema', N'dbo', N'table', N'WBPS_PRDTORDER_T', N'column', N'RCV_TEL';             -- 컬럼</t>
  </si>
  <si>
    <t>EXEC sp_addextendedproperty N'MS_Description', N'수령자연락처',                                                  N'schema', N'dbo', N'table', N'WBPS_PRDTORDER_T', N'column', N'RCV_TEL_A';           -- 컬럼</t>
  </si>
  <si>
    <t>EXEC sp_addextendedproperty N'MS_Description', N'수령자연락처',                                                  N'schema', N'dbo', N'table', N'WBPS_PRDTORDER_T', N'column', N'RCV_TEL_B';           -- 컬럼</t>
  </si>
  <si>
    <t>EXEC sp_addextendedproperty N'MS_Description', N'수령자연락처',                                                  N'schema', N'dbo', N'table', N'WBPS_PRDTORDER_T', N'column', N'RCV_TEL_C';           -- 컬럼</t>
  </si>
  <si>
    <t>EXEC sp_addextendedproperty N'MS_Description', N'수령자휴대폰',                                                  N'schema', N'dbo', N'table', N'WBPS_PRDTORDER_T', N'column', N'RCV_HPHONE';          -- 컬럼</t>
  </si>
  <si>
    <t>EXEC sp_addextendedproperty N'MS_Description', N'수령자휴대폰',                                                  N'schema', N'dbo', N'table', N'WBPS_PRDTORDER_T', N'column', N'RCV_HPHONE_A';        -- 컬럼</t>
  </si>
  <si>
    <t>EXEC sp_addextendedproperty N'MS_Description', N'수령자휴대폰',                                                  N'schema', N'dbo', N'table', N'WBPS_PRDTORDER_T', N'column', N'RCV_HPHONE_B';        -- 컬럼</t>
  </si>
  <si>
    <t>EXEC sp_addextendedproperty N'MS_Description', N'수령자휴대폰',                                                  N'schema', N'dbo', N'table', N'WBPS_PRDTORDER_T', N'column', N'REV_HPHONE_C';        -- 컬럼</t>
  </si>
  <si>
    <t>EXEC sp_addextendedproperty N'MS_Description', N'배송메모',                                                      N'schema', N'dbo', N'table', N'WBPS_PRDTORDER_T', N'column', N'DLVRY_MEMO';          -- 컬럼</t>
  </si>
  <si>
    <t>EXEC sp_addextendedproperty N'MS_Description', N'배송비방법(0:직접,1:선불,2착불)',                               N'schema', N'dbo', N'table', N'WBPS_PRDTORDER_T', N'column', N'DLBRY_MTHD';          -- 컬럼</t>
  </si>
  <si>
    <t>EXEC sp_addextendedproperty N'MS_Description', N'결제방법(B:무통장,C:카드결제)',                                 N'schema', N'dbo', N'table', N'WBPS_PRDTORDER_T', N'column', N'STLMNT_MTHD';         -- 컬럼</t>
  </si>
  <si>
    <t>EXEC sp_addextendedproperty N'MS_Description', N'주문상태',                                                      N'schema', N'dbo', N'table', N'WBPS_PRDTORDER_T', N'column', N'ORDER_ST';            -- 컬럼</t>
  </si>
  <si>
    <t>EXEC sp_addextendedproperty N'MS_Description', N'택배회사',                                                      N'schema', N'dbo', N'table', N'WBPS_PRDTORDER_T', N'column', N'DLVRY_CO';            -- 컬럼</t>
  </si>
  <si>
    <t>EXEC sp_addextendedproperty N'MS_Description', N'송장번호',                                                      N'schema', N'dbo', N'table', N'WBPS_PRDTORDER_T', N'column', N'DLVRY_NO';            -- 컬럼</t>
  </si>
  <si>
    <t>EXEC sp_addextendedproperty N'MS_Description', N'도메인명',                                                      N'schema', N'dbo', N'table', N'WBPS_PRDTORDER_T', N'column', N'DOMAIN_NAME';         -- 컬럼</t>
  </si>
  <si>
    <t>EXEC sp_addextendedproperty N'MS_Description', N'접속호스트',                                                    N'schema', N'dbo', N'table', N'WBPS_PRDTORDER_T', N'column', N'REMOTE_HOST';         -- 컬럼</t>
  </si>
  <si>
    <t>EXEC sp_addextendedproperty N'MS_Description', N'작성자번호',                                                    N'schema', N'dbo', N'table', N'WBPS_PRDTORDER_T', N'column', N'CREATE_USER_NO';      -- 컬럼</t>
  </si>
  <si>
    <t>EXEC sp_addextendedproperty N'MS_Description', N'작성자아이디',                                                  N'schema', N'dbo', N'table', N'WBPS_PRDTORDER_T', N'column', N'CREATE_USER_ID';      -- 컬럼</t>
  </si>
  <si>
    <t>EXEC sp_addextendedproperty N'MS_Description', N'작성자명',                                                      N'schema', N'dbo', N'table', N'WBPS_PRDTORDER_T', N'column', N'CREATE_USER_NAME';    -- 컬럼</t>
  </si>
  <si>
    <t>EXEC sp_addextendedproperty N'MS_Description', N'작성일자',                                                      N'schema', N'dbo', N'table', N'WBPS_PRDTORDER_T', N'column', N'CREATE_DT';           -- 컬럼</t>
  </si>
  <si>
    <t>EXEC sp_addextendedproperty N'MS_Description', N'수정자번호',                                                    N'schema', N'dbo', N'table', N'WBPS_PRDTORDER_T', N'column', N'UPDATE_USER_NO';      -- 컬럼</t>
  </si>
  <si>
    <t>EXEC sp_addextendedproperty N'MS_Description', N'수정자아이디',                                                  N'schema', N'dbo', N'table', N'WBPS_PRDTORDER_T', N'column', N'UPDATE_USER_ID';      -- 컬럼</t>
  </si>
  <si>
    <t>EXEC sp_addextendedproperty N'MS_Description', N'수정자명',                                                      N'schema', N'dbo', N'table', N'WBPS_PRDTORDER_T', N'column', N'UPDATE_USER_NAME';    -- 컬럼</t>
  </si>
  <si>
    <t>EXEC sp_addextendedproperty N'MS_Description', N'수정일자',                                                      N'schema', N'dbo', N'table', N'WBPS_PRDTORDER_T', N'column', N'UPDATE_DT';           -- 컬럼</t>
  </si>
  <si>
    <t>EXEC sp_addextendedproperty N'MS_Description', N'주문목록',                                                      N'schema', N'dbo', N'table', N'WBPS_PRDTORDERLIST_T';              -- 테이블</t>
  </si>
  <si>
    <t>EXEC sp_addextendedproperty N'MS_Description', N'주문목록번호',                                                  N'schema', N'dbo', N'table', N'WBPS_PRDTORDERLIST_T', N'column', N'ORDERLIST_NO';        -- 컬럼</t>
  </si>
  <si>
    <t>EXEC sp_addextendedproperty N'MS_Description', N'주문아이디(S000000000)',                                        N'schema', N'dbo', N'table', N'WBPS_PRDTORDERLIST_T', N'column', N'ORDER_ID';            -- 컬럼</t>
  </si>
  <si>
    <t>EXEC sp_addextendedproperty N'MS_Description', N'회원번호',                                                      N'schema', N'dbo', N'table', N'WBPS_PRDTORDERLIST_T', N'column', N'MEMBER_NO';           -- 컬럼</t>
  </si>
  <si>
    <t>EXEC sp_addextendedproperty N'MS_Description', N'상품아이디',                                                    N'schema', N'dbo', N'table', N'WBPS_PRDTORDERLIST_T', N'column', N'PRDT_ID';             -- 컬럼</t>
  </si>
  <si>
    <t>EXEC sp_addextendedproperty N'MS_Description', N'판매가격',                                                      N'schema', N'dbo', N'table', N'WBPS_PRDTORDERLIST_T', N'column', N'PRICE_SALE';          -- 컬럼</t>
  </si>
  <si>
    <t>EXEC sp_addextendedproperty N'MS_Description', N'공급가격',                                                      N'schema', N'dbo', N'table', N'WBPS_PRDTORDERLIST_T', N'column', N'PRICE_SPLY';          -- 컬럼</t>
  </si>
  <si>
    <t>EXEC sp_addextendedproperty N'MS_Description', N'배송비(직접수령:-1)',                                           N'schema', N'dbo', N'table', N'WBPS_PRDTORDERLIST_T', N'column', N'PRICE_DLVRV';         -- 컬럼</t>
  </si>
  <si>
    <t>EXEC sp_addextendedproperty N'MS_Description', N'구매수량',                                                      N'schema', N'dbo', N'table', N'WBPS_PRDTORDERLIST_T', N'column', N'BUY_COUNT';           -- 컬럼</t>
  </si>
  <si>
    <t>EXEC sp_addextendedproperty N'MS_Description', N'주문상태',                                                      N'schema', N'dbo', N'table', N'WBPS_PRDTORDERLIST_T', N'column', N'ORDER_ST';            -- 컬럼</t>
  </si>
  <si>
    <t>EXEC sp_addextendedproperty N'MS_Description', N'도메인명',                                                      N'schema', N'dbo', N'table', N'WBPS_PRDTORDERLIST_T', N'column', N'DOMAIN_NAME';         -- 컬럼</t>
  </si>
  <si>
    <t>EXEC sp_addextendedproperty N'MS_Description', N'접속호스트',                                                    N'schema', N'dbo', N'table', N'WBPS_PRDTORDERLIST_T', N'column', N'REMOTE_HOST';         -- 컬럼</t>
  </si>
  <si>
    <t>EXEC sp_addextendedproperty N'MS_Description', N'작성자번호',                                                    N'schema', N'dbo', N'table', N'WBPS_PRDTORDERLIST_T', N'column', N'CREATE_USER_NO';      -- 컬럼</t>
  </si>
  <si>
    <t>EXEC sp_addextendedproperty N'MS_Description', N'작성자아이디',                                                  N'schema', N'dbo', N'table', N'WBPS_PRDTORDERLIST_T', N'column', N'CREATE_USER_ID';      -- 컬럼</t>
  </si>
  <si>
    <t>EXEC sp_addextendedproperty N'MS_Description', N'작성자명',                                                      N'schema', N'dbo', N'table', N'WBPS_PRDTORDERLIST_T', N'column', N'CREATE_USER_NAME';    -- 컬럼</t>
  </si>
  <si>
    <t>EXEC sp_addextendedproperty N'MS_Description', N'작성일자',                                                      N'schema', N'dbo', N'table', N'WBPS_PRDTORDERLIST_T', N'column', N'CREATE_DT';           -- 컬럼</t>
  </si>
  <si>
    <t>EXEC sp_addextendedproperty N'MS_Description', N'수정자번호',                                                    N'schema', N'dbo', N'table', N'WBPS_PRDTORDERLIST_T', N'column', N'UPDATE_USER_NO';      -- 컬럼</t>
  </si>
  <si>
    <t>EXEC sp_addextendedproperty N'MS_Description', N'수정자아이디',                                                  N'schema', N'dbo', N'table', N'WBPS_PRDTORDERLIST_T', N'column', N'UPDATE_USER_ID';      -- 컬럼</t>
  </si>
  <si>
    <t>EXEC sp_addextendedproperty N'MS_Description', N'수정자명',                                                      N'schema', N'dbo', N'table', N'WBPS_PRDTORDERLIST_T', N'column', N'UPDATE_USER_NAME';    -- 컬럼</t>
  </si>
  <si>
    <t>EXEC sp_addextendedproperty N'MS_Description', N'수정일자',                                                      N'schema', N'dbo', N'table', N'WBPS_PRDTORDERLIST_T', N'column', N'UPDATE_USER_DT';      -- 컬럼</t>
  </si>
  <si>
    <t>EXEC sp_addextendedproperty N'MS_Description', N'택배회사',                                                      N'schema', N'dbo', N'table', N'WBPS_DLVRYCO_T';              -- 테이블</t>
  </si>
  <si>
    <t>EXEC sp_addextendedproperty N'MS_Description', N'택비회사번호',                                                  N'schema', N'dbo', N'table', N'WBPS_DLVRYCO_T', N'column', N'DLVRYCO_NO';          -- 컬럼</t>
  </si>
  <si>
    <t>EXEC sp_addextendedproperty N'MS_Description', N'택배회사명',                                                    N'schema', N'dbo', N'table', N'WBPS_DLVRYCO_T', N'column', N'DLVRYCO_NAME';        -- 컬럼</t>
  </si>
  <si>
    <t>EXEC sp_addextendedproperty N'MS_Description', N'택배조회주소',                                                  N'schema', N'dbo', N'table', N'WBPS_DLVRYCO_T', N'column', N'DLVRYCO_URL';         -- 컬럼</t>
  </si>
  <si>
    <t>EXEC sp_addextendedproperty N'MS_Description', N'도메인명',                                                      N'schema', N'dbo', N'table', N'WBPS_DLVRYCO_T', N'column', N'DOMAIN_NAME';         -- 컬럼</t>
  </si>
  <si>
    <t>EXEC sp_addextendedproperty N'MS_Description', N'접속호스트',                                                    N'schema', N'dbo', N'table', N'WBPS_DLVRYCO_T', N'column', N'REMOTE_HOST';         -- 컬럼</t>
  </si>
  <si>
    <t>EXEC sp_addextendedproperty N'MS_Description', N'작성자번호',                                                    N'schema', N'dbo', N'table', N'WBPS_DLVRYCO_T', N'column', N'CREATE_USER_NO';      -- 컬럼</t>
  </si>
  <si>
    <t>EXEC sp_addextendedproperty N'MS_Description', N'작성자아이디',                                                  N'schema', N'dbo', N'table', N'WBPS_DLVRYCO_T', N'column', N'CREATE_USER_ID';      -- 컬럼</t>
  </si>
  <si>
    <t>EXEC sp_addextendedproperty N'MS_Description', N'작성자명',                                                      N'schema', N'dbo', N'table', N'WBPS_DLVRYCO_T', N'column', N'CREATE_USER_NAME';    -- 컬럼</t>
  </si>
  <si>
    <t>EXEC sp_addextendedproperty N'MS_Description', N'작성일자',                                                      N'schema', N'dbo', N'table', N'WBPS_DLVRYCO_T', N'column', N'CREATE_DT';           -- 컬럼</t>
  </si>
  <si>
    <t>EXEC sp_addextendedproperty N'MS_Description', N'수정자번호',                                                    N'schema', N'dbo', N'table', N'WBPS_DLVRYCO_T', N'column', N'UPDATE_USER_NO';      -- 컬럼</t>
  </si>
  <si>
    <t>EXEC sp_addextendedproperty N'MS_Description', N'수정자아이디',                                                  N'schema', N'dbo', N'table', N'WBPS_DLVRYCO_T', N'column', N'UPDATE_USER_ID';      -- 컬럼</t>
  </si>
  <si>
    <t>EXEC sp_addextendedproperty N'MS_Description', N'수정자명',                                                      N'schema', N'dbo', N'table', N'WBPS_DLVRYCO_T', N'column', N'UPDATE_USER_NAME';    -- 컬럼</t>
  </si>
  <si>
    <t>EXEC sp_addextendedproperty N'MS_Description', N'수정일자',                                                      N'schema', N'dbo', N'table', N'WBPS_DLVRYCO_T', N'column', N'UPDATE_DT';           -- 컬럼</t>
  </si>
  <si>
    <t>EXEC sp_addextendedproperty N'MS_Description', N'상품진열존',                                                    N'schema', N'dbo', N'table', N'WBPS_PRDTZONE_T';            -- 테이블</t>
  </si>
  <si>
    <t>EXEC sp_addextendedproperty N'MS_Description', N'진열번호',                                                      N'schema', N'dbo', N'table', N'WBPS_PRDTZONE_T', N'column', N'ZONE_NO';             -- 컬럼</t>
  </si>
  <si>
    <t>EXEC sp_addextendedproperty N'MS_Description', N'진열아이디',                                                    N'schema', N'dbo', N'table', N'WBPS_PRDTZONE_T', N'column', N'ZONE_ID';             -- 컬럼</t>
  </si>
  <si>
    <t>EXEC sp_addextendedproperty N'MS_Description', N'진열명',                                                        N'schema', N'dbo', N'table', N'WBPS_PRDTZONE_T', N'column', N'ZONE_NAME';           -- 컬럼</t>
  </si>
  <si>
    <t>EXEC sp_addextendedproperty N'MS_Description', N'도메인명',                                                      N'schema', N'dbo', N'table', N'WBPS_PRDTZONE_T', N'column', N'DOMAIN_NAME';         -- 컬럼</t>
  </si>
  <si>
    <t>EXEC sp_addextendedproperty N'MS_Description', N'접속호스트',                                                    N'schema', N'dbo', N'table', N'WBPS_PRDTZONE_T', N'column', N'REMOTE_HOST';         -- 컬럼</t>
  </si>
  <si>
    <t>EXEC sp_addextendedproperty N'MS_Description', N'작성자번호',                                                    N'schema', N'dbo', N'table', N'WBPS_PRDTZONE_T', N'column', N'CREATE_USER_NO';      -- 컬럼</t>
  </si>
  <si>
    <t>EXEC sp_addextendedproperty N'MS_Description', N'작성자아이디',                                                  N'schema', N'dbo', N'table', N'WBPS_PRDTZONE_T', N'column', N'CREATE_USER_ID';      -- 컬럼</t>
  </si>
  <si>
    <t>EXEC sp_addextendedproperty N'MS_Description', N'작성자명',                                                      N'schema', N'dbo', N'table', N'WBPS_PRDTZONE_T', N'column', N'CREATE_USER_NAME';    -- 컬럼</t>
  </si>
  <si>
    <t>EXEC sp_addextendedproperty N'MS_Description', N'작성일자',                                                      N'schema', N'dbo', N'table', N'WBPS_PRDTZONE_T', N'column', N'CREATE_DT';           -- 컬럼</t>
  </si>
  <si>
    <t>EXEC sp_addextendedproperty N'MS_Description', N'수정자번호',                                                    N'schema', N'dbo', N'table', N'WBPS_PRDTZONE_T', N'column', N'UPDATE_USER_NO';      -- 컬럼</t>
  </si>
  <si>
    <t>EXEC sp_addextendedproperty N'MS_Description', N'수정자아이디',                                                  N'schema', N'dbo', N'table', N'WBPS_PRDTZONE_T', N'column', N'UPDATE_USER_ID';      -- 컬럼</t>
  </si>
  <si>
    <t>EXEC sp_addextendedproperty N'MS_Description', N'수정자명',                                                      N'schema', N'dbo', N'table', N'WBPS_PRDTZONE_T', N'column', N'UPDATE_USER_NAME';    -- 컬럼</t>
  </si>
  <si>
    <t>EXEC sp_addextendedproperty N'MS_Description', N'수정일자',                                                      N'schema', N'dbo', N'table', N'WBPS_PRDTZONE_T', N'column', N'UPDATE_DT';           -- 컬럼</t>
  </si>
  <si>
    <t>EXEC sp_addextendedproperty N'MS_Description', N'상품진열상품',                                                  N'schema', N'dbo', N'table', N'WBPS_PRDTZONEPRDT_T';          -- 테이블</t>
  </si>
  <si>
    <t>EXEC sp_addextendedproperty N'MS_Description', N'진열상품번호',                                                  N'schema', N'dbo', N'table', N'WBPS_PRDTZONEPRDT_T', N'column', N'ZONEPRDT_NO';         -- 컬럼</t>
  </si>
  <si>
    <t>EXEC sp_addextendedproperty N'MS_Description', N'진열아이디',                                                    N'schema', N'dbo', N'table', N'WBPS_PRDTZONEPRDT_T', N'column', N'ZONE_ID';             -- 컬럼</t>
  </si>
  <si>
    <t>EXEC sp_addextendedproperty N'MS_Description', N'상품아이디',                                                    N'schema', N'dbo', N'table', N'WBPS_PRDTZONEPRDT_T', N'column', N'PRDT_ID';             -- 컬럼</t>
  </si>
  <si>
    <t>EXEC sp_addextendedproperty N'MS_Description', N'기본이미지',                                                    N'schema', N'dbo', N'table', N'WBPS_PRDTZONEPRDT_T', N'column', N'IMG_BAS';             -- 컬럼</t>
  </si>
  <si>
    <t>EXEC sp_addextendedproperty N'MS_Description', N'컨덴츠이미지',                                                  N'schema', N'dbo', N'table', N'WBPS_PRDTZONEPRDT_T', N'column', N'IMG_DTL';             -- 컬럼</t>
  </si>
  <si>
    <t>EXEC sp_addextendedproperty N'MS_Description', N'순서',                                                          N'schema', N'dbo', N'table', N'WBPS_PRDTZONEPRDT_T', N'column', N'ORD';                 -- 컬럼</t>
  </si>
  <si>
    <t>EXEC sp_addextendedproperty N'MS_Description', N'도메인명',                                                      N'schema', N'dbo', N'table', N'WBPS_PRDTZONEPRDT_T', N'column', N'DOMAIN_NAME';         -- 컬럼</t>
  </si>
  <si>
    <t>EXEC sp_addextendedproperty N'MS_Description', N'접속호스트',                                                    N'schema', N'dbo', N'table', N'WBPS_PRDTZONEPRDT_T', N'column', N'REMOTE_HOST';         -- 컬럼</t>
  </si>
  <si>
    <t>EXEC sp_addextendedproperty N'MS_Description', N'작성자번호',                                                    N'schema', N'dbo', N'table', N'WBPS_PRDTZONEPRDT_T', N'column', N'CREATE_USER_NO';      -- 컬럼</t>
  </si>
  <si>
    <t>EXEC sp_addextendedproperty N'MS_Description', N'작성자아이디',                                                  N'schema', N'dbo', N'table', N'WBPS_PRDTZONEPRDT_T', N'column', N'CREATE_USER_ID';      -- 컬럼</t>
  </si>
  <si>
    <t>EXEC sp_addextendedproperty N'MS_Description', N'작성자명',                                                      N'schema', N'dbo', N'table', N'WBPS_PRDTZONEPRDT_T', N'column', N'CREATE_USER_NAME';    -- 컬럼</t>
  </si>
  <si>
    <t>EXEC sp_addextendedproperty N'MS_Description', N'작성일자',                                                      N'schema', N'dbo', N'table', N'WBPS_PRDTZONEPRDT_T', N'column', N'CREATE_DT';           -- 컬럼</t>
  </si>
  <si>
    <t>EXEC sp_addextendedproperty N'MS_Description', N'수정자번호',                                                    N'schema', N'dbo', N'table', N'WBPS_PRDTZONEPRDT_T', N'column', N'UPDATE_USER_NO';      -- 컬럼</t>
  </si>
  <si>
    <t>EXEC sp_addextendedproperty N'MS_Description', N'수정자아이디',                                                  N'schema', N'dbo', N'table', N'WBPS_PRDTZONEPRDT_T', N'column', N'UPDATE_USER_ID';      -- 컬럼</t>
  </si>
  <si>
    <t>EXEC sp_addextendedproperty N'MS_Description', N'수정자명',                                                      N'schema', N'dbo', N'table', N'WBPS_PRDTZONEPRDT_T', N'column', N'UPDATE_USER_NAME';    -- 컬럼</t>
  </si>
  <si>
    <t>EXEC sp_addextendedproperty N'MS_Description', N'수정일자',                                                      N'schema', N'dbo', N'table', N'WBPS_PRDTZONEPRDT_T', N'column', N'UPDATE_DT';           -- 컬럼</t>
  </si>
  <si>
    <t>tb</t>
    <phoneticPr fontId="6" type="noConversion"/>
  </si>
  <si>
    <t>2018.07.24</t>
    <phoneticPr fontId="6" type="noConversion"/>
  </si>
  <si>
    <t>tb_insur_info</t>
  </si>
  <si>
    <t>보험정보를 관리한다</t>
  </si>
  <si>
    <t>보험 정보</t>
  </si>
  <si>
    <t>생성자</t>
    <phoneticPr fontId="6" type="noConversion"/>
  </si>
  <si>
    <t>생성 일시</t>
    <phoneticPr fontId="6" type="noConversion"/>
  </si>
  <si>
    <t>갱신 일시</t>
    <phoneticPr fontId="6" type="noConversion"/>
  </si>
  <si>
    <t>정액형 보장 계약 내용</t>
  </si>
  <si>
    <t>정액형 보장 내용</t>
  </si>
  <si>
    <t>정액형 보장 분석 통계</t>
  </si>
  <si>
    <t>실손형 보장 계약 내용</t>
  </si>
  <si>
    <t>실손형 보장 내용</t>
  </si>
  <si>
    <t>실손형 보장 분석 통계</t>
  </si>
  <si>
    <t>tb_insur_actuallossstatistics</t>
  </si>
  <si>
    <t>실손형 보장 분석 통계를 관리한다</t>
  </si>
  <si>
    <t>tb_insur_actuallosscoverage</t>
  </si>
  <si>
    <t>tb_insur_actuallosscontract</t>
  </si>
  <si>
    <t>tb_insur_flatratestatistics</t>
  </si>
  <si>
    <t>tb_insur_flatratecoverage</t>
  </si>
  <si>
    <t>tb_insur_flatratecontract</t>
  </si>
  <si>
    <r>
      <t>S</t>
    </r>
    <r>
      <rPr>
        <sz val="9"/>
        <rFont val="굴림체"/>
        <family val="3"/>
        <charset val="129"/>
      </rPr>
      <t>ELECT</t>
    </r>
    <phoneticPr fontId="6" type="noConversion"/>
  </si>
  <si>
    <t>FROM</t>
    <phoneticPr fontId="6" type="noConversion"/>
  </si>
  <si>
    <t>INSERT INTO</t>
    <phoneticPr fontId="6" type="noConversion"/>
  </si>
  <si>
    <t>) VALUES (</t>
    <phoneticPr fontId="6" type="noConversion"/>
  </si>
  <si>
    <t>)</t>
    <phoneticPr fontId="6" type="noConversion"/>
  </si>
  <si>
    <t>UPDATE SET</t>
    <phoneticPr fontId="6" type="noConversion"/>
  </si>
  <si>
    <t>훌륭한박대리 일대일매칭 거래 APP</t>
    <phoneticPr fontId="58" type="noConversion"/>
  </si>
  <si>
    <t>2018.09.18</t>
    <phoneticPr fontId="10" type="noConversion"/>
  </si>
  <si>
    <t>ONE-TO-ONE DEALS APP</t>
    <phoneticPr fontId="6" type="noConversion"/>
  </si>
  <si>
    <t xml:space="preserve">테이블정의서
(GMP ONE TO ONE DEALS APP)
</t>
    <phoneticPr fontId="58" type="noConversion"/>
  </si>
  <si>
    <t>일대일거래APP</t>
    <phoneticPr fontId="6" type="noConversion"/>
  </si>
  <si>
    <t>2018.09.18</t>
    <phoneticPr fontId="6" type="noConversion"/>
  </si>
  <si>
    <t>GMP_CM_ZIN_T</t>
    <phoneticPr fontId="6" type="noConversion"/>
  </si>
  <si>
    <t>IXGMP01</t>
    <phoneticPr fontId="6" type="noConversion"/>
  </si>
  <si>
    <t>상점번호</t>
    <phoneticPr fontId="6" type="noConversion"/>
  </si>
  <si>
    <t>상점명</t>
    <phoneticPr fontId="6" type="noConversion"/>
  </si>
  <si>
    <t>판매자명</t>
    <phoneticPr fontId="6" type="noConversion"/>
  </si>
  <si>
    <t>별명</t>
    <phoneticPr fontId="6" type="noConversion"/>
  </si>
  <si>
    <t>이메일주소</t>
    <phoneticPr fontId="6" type="noConversion"/>
  </si>
  <si>
    <t>사진경로</t>
    <phoneticPr fontId="6" type="noConversion"/>
  </si>
  <si>
    <t>createId</t>
    <phoneticPr fontId="6" type="noConversion"/>
  </si>
  <si>
    <t>updateId</t>
    <phoneticPr fontId="6" type="noConversion"/>
  </si>
  <si>
    <t>updateDate</t>
    <phoneticPr fontId="6" type="noConversion"/>
  </si>
  <si>
    <t>createDate</t>
    <phoneticPr fontId="6" type="noConversion"/>
  </si>
  <si>
    <t>storeNumber</t>
    <phoneticPr fontId="6" type="noConversion"/>
  </si>
  <si>
    <t>storeName</t>
    <phoneticPr fontId="6" type="noConversion"/>
  </si>
  <si>
    <t>sellerName</t>
    <phoneticPr fontId="6" type="noConversion"/>
  </si>
  <si>
    <t>nickName</t>
    <phoneticPr fontId="6" type="noConversion"/>
  </si>
  <si>
    <t>phoneNumber</t>
    <phoneticPr fontId="6" type="noConversion"/>
  </si>
  <si>
    <t>emailAddress</t>
    <phoneticPr fontId="6" type="noConversion"/>
  </si>
  <si>
    <t>photoPath</t>
    <phoneticPr fontId="6" type="noConversion"/>
  </si>
  <si>
    <t>수정자</t>
    <phoneticPr fontId="6" type="noConversion"/>
  </si>
  <si>
    <t>AES256</t>
    <phoneticPr fontId="6" type="noConversion"/>
  </si>
  <si>
    <t>TSGMP01</t>
    <phoneticPr fontId="6" type="noConversion"/>
  </si>
  <si>
    <t>AES256 KEY</t>
    <phoneticPr fontId="6" type="noConversion"/>
  </si>
  <si>
    <t>1b2f856aa5c8ec20d1d4048c9d6e5a4947385857e60ecf6a7d6023ccd25a1682</t>
    <phoneticPr fontId="6" type="noConversion"/>
  </si>
  <si>
    <t>판매지역</t>
    <phoneticPr fontId="6" type="noConversion"/>
  </si>
  <si>
    <t>SalesArea</t>
    <phoneticPr fontId="6" type="noConversion"/>
  </si>
  <si>
    <t>기본주소</t>
    <phoneticPr fontId="6" type="noConversion"/>
  </si>
  <si>
    <t>zipCode</t>
    <phoneticPr fontId="6" type="noConversion"/>
  </si>
  <si>
    <t>baseAddress</t>
    <phoneticPr fontId="6" type="noConversion"/>
  </si>
  <si>
    <t>availableArea</t>
    <phoneticPr fontId="6" type="noConversion"/>
  </si>
  <si>
    <t>AES256, 읍면동</t>
    <phoneticPr fontId="6" type="noConversion"/>
  </si>
  <si>
    <t>판매가능지역</t>
    <phoneticPr fontId="6" type="noConversion"/>
  </si>
  <si>
    <t>storeNumber</t>
    <phoneticPr fontId="6" type="noConversion"/>
  </si>
  <si>
    <t>storeName</t>
    <phoneticPr fontId="6" type="noConversion"/>
  </si>
  <si>
    <t>sellerName</t>
    <phoneticPr fontId="6" type="noConversion"/>
  </si>
  <si>
    <t>phoneNumber</t>
    <phoneticPr fontId="6" type="noConversion"/>
  </si>
  <si>
    <t>emailAddress</t>
    <phoneticPr fontId="6" type="noConversion"/>
  </si>
  <si>
    <t>postalCode</t>
    <phoneticPr fontId="6" type="noConversion"/>
  </si>
  <si>
    <t>우편번호(지번)</t>
    <phoneticPr fontId="6" type="noConversion"/>
  </si>
  <si>
    <t>우편번호(도로명)</t>
    <phoneticPr fontId="6" type="noConversion"/>
  </si>
  <si>
    <t>상점</t>
    <phoneticPr fontId="6" type="noConversion"/>
  </si>
  <si>
    <t>Stores</t>
    <phoneticPr fontId="6" type="noConversion"/>
  </si>
  <si>
    <t>상품</t>
    <phoneticPr fontId="6" type="noConversion"/>
  </si>
  <si>
    <t>Products</t>
    <phoneticPr fontId="6" type="noConversion"/>
  </si>
  <si>
    <t>사용여부</t>
    <phoneticPr fontId="6" type="noConversion"/>
  </si>
  <si>
    <t>삭제여부</t>
    <phoneticPr fontId="6" type="noConversion"/>
  </si>
  <si>
    <t>useAt</t>
    <phoneticPr fontId="6" type="noConversion"/>
  </si>
  <si>
    <t>delAt</t>
    <phoneticPr fontId="6" type="noConversion"/>
  </si>
  <si>
    <t>Y,N</t>
    <phoneticPr fontId="6" type="noConversion"/>
  </si>
  <si>
    <t>판매여부</t>
    <phoneticPr fontId="6" type="noConversion"/>
  </si>
  <si>
    <t>saleAt</t>
    <phoneticPr fontId="6" type="noConversion"/>
  </si>
  <si>
    <t>계약시작일</t>
    <phoneticPr fontId="6" type="noConversion"/>
  </si>
  <si>
    <t>계약종료일</t>
    <phoneticPr fontId="6" type="noConversion"/>
  </si>
  <si>
    <t>contractStartDate</t>
    <phoneticPr fontId="6" type="noConversion"/>
  </si>
  <si>
    <t>contractEndDate</t>
    <phoneticPr fontId="6" type="noConversion"/>
  </si>
  <si>
    <t>상점을 관리한다.</t>
    <phoneticPr fontId="6" type="noConversion"/>
  </si>
  <si>
    <t>판매 지역을 관리한다.</t>
    <phoneticPr fontId="6" type="noConversion"/>
  </si>
  <si>
    <t>상품을 관리한다.</t>
    <phoneticPr fontId="6" type="noConversion"/>
  </si>
  <si>
    <t>상품번호</t>
    <phoneticPr fontId="6" type="noConversion"/>
  </si>
  <si>
    <t>상품명</t>
    <phoneticPr fontId="6" type="noConversion"/>
  </si>
  <si>
    <t>상세설명</t>
    <phoneticPr fontId="6" type="noConversion"/>
  </si>
  <si>
    <t>기본가</t>
    <phoneticPr fontId="6" type="noConversion"/>
  </si>
  <si>
    <t>productNumber</t>
    <phoneticPr fontId="6" type="noConversion"/>
  </si>
  <si>
    <t>productName</t>
    <phoneticPr fontId="6" type="noConversion"/>
  </si>
  <si>
    <t>productPhotoPath</t>
    <phoneticPr fontId="6" type="noConversion"/>
  </si>
  <si>
    <t>상품사진경로</t>
    <phoneticPr fontId="6" type="noConversion"/>
  </si>
  <si>
    <t>productDescription</t>
    <phoneticPr fontId="6" type="noConversion"/>
  </si>
  <si>
    <t>basicPrice</t>
    <phoneticPr fontId="6" type="noConversion"/>
  </si>
  <si>
    <t>판매방식</t>
    <phoneticPr fontId="6" type="noConversion"/>
  </si>
  <si>
    <t>판매시작일</t>
    <phoneticPr fontId="6" type="noConversion"/>
  </si>
  <si>
    <t>판매종료일</t>
    <phoneticPr fontId="6" type="noConversion"/>
  </si>
  <si>
    <t>salesStartDate</t>
    <phoneticPr fontId="6" type="noConversion"/>
  </si>
  <si>
    <t>salesEndDate</t>
    <phoneticPr fontId="6" type="noConversion"/>
  </si>
  <si>
    <t>GS(일반판매),BA(최고가경매방식),LA(최저가경매방식)</t>
    <phoneticPr fontId="6" type="noConversion"/>
  </si>
  <si>
    <t>salesSystem</t>
    <phoneticPr fontId="6" type="noConversion"/>
  </si>
  <si>
    <t>진열</t>
    <phoneticPr fontId="6" type="noConversion"/>
  </si>
  <si>
    <t>Display</t>
    <phoneticPr fontId="6" type="noConversion"/>
  </si>
  <si>
    <t>진열을 관리한다.</t>
    <phoneticPr fontId="6" type="noConversion"/>
  </si>
  <si>
    <t>진열아이디</t>
    <phoneticPr fontId="6" type="noConversion"/>
  </si>
  <si>
    <t>화면</t>
    <phoneticPr fontId="6" type="noConversion"/>
  </si>
  <si>
    <t>Screen</t>
    <phoneticPr fontId="6" type="noConversion"/>
  </si>
  <si>
    <t>화면을 관리한다.</t>
    <phoneticPr fontId="6" type="noConversion"/>
  </si>
  <si>
    <t>진열장</t>
    <phoneticPr fontId="6" type="noConversion"/>
  </si>
  <si>
    <t>Showcase</t>
    <phoneticPr fontId="6" type="noConversion"/>
  </si>
  <si>
    <t>진열장을 관리한다.</t>
    <phoneticPr fontId="6" type="noConversion"/>
  </si>
  <si>
    <t>이력</t>
    <phoneticPr fontId="6" type="noConversion"/>
  </si>
  <si>
    <t>History</t>
    <phoneticPr fontId="6" type="noConversion"/>
  </si>
  <si>
    <t>이력을 관리한다.</t>
    <phoneticPr fontId="6" type="noConversion"/>
  </si>
  <si>
    <t>이력번호</t>
    <phoneticPr fontId="6" type="noConversion"/>
  </si>
  <si>
    <t>이력구분</t>
    <phoneticPr fontId="6" type="noConversion"/>
  </si>
  <si>
    <t>P(상품), O(주문), H(흔적)</t>
    <phoneticPr fontId="6" type="noConversion"/>
  </si>
  <si>
    <t>I(등록) ,U(수정) ,D(삭제) ,S(조회)</t>
    <phoneticPr fontId="6" type="noConversion"/>
  </si>
  <si>
    <t>내용</t>
    <phoneticPr fontId="6" type="noConversion"/>
  </si>
  <si>
    <t>historyNumber</t>
    <phoneticPr fontId="6" type="noConversion"/>
  </si>
  <si>
    <t>historyCategory</t>
    <phoneticPr fontId="6" type="noConversion"/>
  </si>
  <si>
    <t>하위구분</t>
    <phoneticPr fontId="6" type="noConversion"/>
  </si>
  <si>
    <t>subDivide</t>
    <phoneticPr fontId="6" type="noConversion"/>
  </si>
  <si>
    <t>contents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</si>
</sst>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9">
    <font>
      <sz val="9"/>
      <name val="굴림체"/>
      <family val="3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sz val="9"/>
      <name val="돋움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1425">
    <xf numFmtId="0" fontId="0" fillId="0" borderId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28" borderId="7" applyNumberFormat="0" applyAlignment="0" applyProtection="0">
      <alignment vertical="center"/>
    </xf>
    <xf numFmtId="0" fontId="19" fillId="28" borderId="7" applyNumberFormat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6" fillId="30" borderId="8" applyNumberFormat="0" applyFont="0" applyAlignment="0" applyProtection="0">
      <alignment vertical="center"/>
    </xf>
    <xf numFmtId="0" fontId="16" fillId="30" borderId="8" applyNumberFormat="0" applyFont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32" borderId="9" applyNumberFormat="0" applyAlignment="0" applyProtection="0">
      <alignment vertical="center"/>
    </xf>
    <xf numFmtId="0" fontId="23" fillId="32" borderId="9" applyNumberFormat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33" borderId="7" applyNumberFormat="0" applyAlignment="0" applyProtection="0">
      <alignment vertical="center"/>
    </xf>
    <xf numFmtId="0" fontId="26" fillId="33" borderId="7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0" borderId="13" applyNumberFormat="0" applyFill="0" applyAlignment="0" applyProtection="0">
      <alignment vertical="center"/>
    </xf>
    <xf numFmtId="0" fontId="29" fillId="0" borderId="13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2" fillId="28" borderId="15" applyNumberFormat="0" applyAlignment="0" applyProtection="0">
      <alignment vertical="center"/>
    </xf>
    <xf numFmtId="0" fontId="32" fillId="28" borderId="15" applyNumberFormat="0" applyAlignment="0" applyProtection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3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5" fillId="0" borderId="13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40" fillId="33" borderId="7" applyNumberFormat="0" applyAlignment="0" applyProtection="0">
      <alignment vertical="center"/>
    </xf>
    <xf numFmtId="0" fontId="41" fillId="28" borderId="15" applyNumberFormat="0" applyAlignment="0" applyProtection="0">
      <alignment vertical="center"/>
    </xf>
    <xf numFmtId="0" fontId="42" fillId="28" borderId="7" applyNumberFormat="0" applyAlignment="0" applyProtection="0">
      <alignment vertical="center"/>
    </xf>
    <xf numFmtId="0" fontId="43" fillId="0" borderId="10" applyNumberFormat="0" applyFill="0" applyAlignment="0" applyProtection="0">
      <alignment vertical="center"/>
    </xf>
    <xf numFmtId="0" fontId="44" fillId="32" borderId="9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11" applyNumberFormat="0" applyFill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8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9" fillId="0" borderId="0">
      <alignment vertical="center"/>
    </xf>
    <xf numFmtId="0" fontId="50" fillId="0" borderId="0"/>
    <xf numFmtId="0" fontId="51" fillId="0" borderId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53" fillId="0" borderId="16" applyNumberFormat="0" applyAlignment="0" applyProtection="0">
      <alignment horizontal="left" vertical="center"/>
    </xf>
    <xf numFmtId="0" fontId="53" fillId="0" borderId="4">
      <alignment horizontal="left" vertical="center"/>
    </xf>
    <xf numFmtId="0" fontId="52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4" fillId="0" borderId="0"/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9" fillId="0" borderId="0"/>
    <xf numFmtId="0" fontId="62" fillId="0" borderId="0">
      <alignment vertical="center"/>
    </xf>
  </cellStyleXfs>
  <cellXfs count="149">
    <xf numFmtId="0" fontId="0" fillId="0" borderId="0" xfId="0">
      <alignment vertical="center"/>
    </xf>
    <xf numFmtId="0" fontId="14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5" fillId="2" borderId="1" xfId="86" applyFont="1" applyFill="1" applyBorder="1" applyAlignment="1">
      <alignment horizontal="center" vertical="center"/>
    </xf>
    <xf numFmtId="0" fontId="5" fillId="0" borderId="1" xfId="88" applyFont="1" applyFill="1" applyBorder="1" applyAlignment="1">
      <alignment horizontal="left" vertical="center" wrapText="1"/>
    </xf>
    <xf numFmtId="0" fontId="5" fillId="0" borderId="1" xfId="90" applyFont="1" applyBorder="1" applyAlignment="1">
      <alignment horizontal="left" vertical="center" wrapText="1"/>
    </xf>
    <xf numFmtId="0" fontId="5" fillId="0" borderId="1" xfId="90" applyFont="1" applyBorder="1" applyAlignment="1">
      <alignment horizontal="left" vertical="center"/>
    </xf>
    <xf numFmtId="0" fontId="5" fillId="0" borderId="1" xfId="90" applyFont="1" applyBorder="1" applyAlignment="1">
      <alignment vertical="center" wrapText="1"/>
    </xf>
    <xf numFmtId="0" fontId="14" fillId="3" borderId="1" xfId="90" applyFont="1" applyFill="1" applyBorder="1" applyAlignment="1">
      <alignment horizontal="center" vertical="center"/>
    </xf>
    <xf numFmtId="0" fontId="14" fillId="0" borderId="0" xfId="90" applyFont="1" applyAlignment="1">
      <alignment horizontal="center" vertical="center" wrapText="1"/>
    </xf>
    <xf numFmtId="0" fontId="14" fillId="0" borderId="0" xfId="90" applyFont="1">
      <alignment vertical="center"/>
    </xf>
    <xf numFmtId="0" fontId="5" fillId="0" borderId="0" xfId="90" applyFont="1" applyAlignment="1">
      <alignment horizontal="center" vertical="center"/>
    </xf>
    <xf numFmtId="0" fontId="5" fillId="0" borderId="0" xfId="90" applyFont="1">
      <alignment vertical="center"/>
    </xf>
    <xf numFmtId="0" fontId="5" fillId="0" borderId="0" xfId="90" applyFont="1" applyAlignment="1">
      <alignment vertical="center"/>
    </xf>
    <xf numFmtId="0" fontId="5" fillId="0" borderId="1" xfId="90" applyFont="1" applyBorder="1" applyAlignment="1">
      <alignment horizontal="center" vertical="center" wrapText="1"/>
    </xf>
    <xf numFmtId="0" fontId="5" fillId="0" borderId="0" xfId="85" applyFont="1">
      <alignment vertical="center"/>
    </xf>
    <xf numFmtId="0" fontId="0" fillId="0" borderId="1" xfId="91" applyFont="1" applyFill="1" applyBorder="1" applyAlignment="1">
      <alignment horizontal="center" vertical="top" wrapText="1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8" fillId="0" borderId="0" xfId="87" applyFont="1" applyFill="1" applyAlignment="1">
      <alignment vertical="top"/>
    </xf>
    <xf numFmtId="0" fontId="5" fillId="0" borderId="0" xfId="87" applyFont="1" applyFill="1" applyAlignment="1">
      <alignment vertical="top"/>
    </xf>
    <xf numFmtId="0" fontId="5" fillId="0" borderId="0" xfId="89" applyFont="1" applyFill="1" applyAlignment="1">
      <alignment vertical="top"/>
    </xf>
    <xf numFmtId="0" fontId="11" fillId="0" borderId="0" xfId="0" applyFont="1" applyAlignment="1">
      <alignment horizontal="center" vertical="center"/>
    </xf>
    <xf numFmtId="0" fontId="10" fillId="0" borderId="0" xfId="89" applyFont="1" applyFill="1" applyAlignment="1">
      <alignment vertical="top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0" fontId="0" fillId="0" borderId="1" xfId="0" quotePrefix="1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0" fillId="0" borderId="1" xfId="91" applyFont="1" applyFill="1" applyBorder="1" applyAlignment="1">
      <alignment horizontal="center" vertical="center" wrapText="1"/>
    </xf>
    <xf numFmtId="0" fontId="5" fillId="0" borderId="1" xfId="91" applyFont="1" applyFill="1" applyBorder="1" applyAlignment="1">
      <alignment horizontal="center" vertical="center"/>
    </xf>
    <xf numFmtId="0" fontId="0" fillId="0" borderId="1" xfId="91" quotePrefix="1" applyFont="1" applyFill="1" applyBorder="1" applyAlignment="1">
      <alignment horizontal="center" vertical="center"/>
    </xf>
    <xf numFmtId="0" fontId="5" fillId="0" borderId="1" xfId="91" applyFont="1" applyFill="1" applyBorder="1" applyAlignment="1">
      <alignment horizontal="center" vertical="center" wrapText="1"/>
    </xf>
    <xf numFmtId="49" fontId="4" fillId="0" borderId="1" xfId="91" applyNumberFormat="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0" fontId="4" fillId="0" borderId="1" xfId="91" applyFont="1" applyFill="1" applyBorder="1" applyAlignment="1">
      <alignment horizontal="center" vertical="center" wrapText="1"/>
    </xf>
    <xf numFmtId="0" fontId="0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6" fillId="0" borderId="0" xfId="1423" applyFont="1"/>
    <xf numFmtId="0" fontId="57" fillId="0" borderId="0" xfId="1423" applyFont="1" applyAlignment="1"/>
    <xf numFmtId="0" fontId="60" fillId="0" borderId="0" xfId="1423" applyFont="1" applyBorder="1" applyAlignment="1">
      <alignment vertical="center"/>
    </xf>
    <xf numFmtId="0" fontId="63" fillId="0" borderId="25" xfId="1424" applyFont="1" applyBorder="1" applyAlignment="1">
      <alignment vertical="top" wrapText="1"/>
    </xf>
    <xf numFmtId="0" fontId="64" fillId="0" borderId="26" xfId="1424" applyFont="1" applyBorder="1" applyAlignment="1">
      <alignment horizontal="center" vertical="top" wrapText="1" readingOrder="1"/>
    </xf>
    <xf numFmtId="0" fontId="63" fillId="0" borderId="26" xfId="1424" applyFont="1" applyBorder="1" applyAlignment="1">
      <alignment horizontal="center" vertical="center" wrapText="1" readingOrder="1"/>
    </xf>
    <xf numFmtId="0" fontId="63" fillId="0" borderId="26" xfId="1424" applyFont="1" applyBorder="1" applyAlignment="1">
      <alignment vertical="top" wrapText="1"/>
    </xf>
    <xf numFmtId="0" fontId="63" fillId="0" borderId="0" xfId="1423" applyFont="1" applyAlignment="1">
      <alignment horizontal="justify"/>
    </xf>
    <xf numFmtId="0" fontId="5" fillId="0" borderId="1" xfId="85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ont="1">
      <alignment vertical="center"/>
    </xf>
    <xf numFmtId="0" fontId="6" fillId="0" borderId="0" xfId="89" applyFont="1" applyFill="1" applyAlignment="1">
      <alignment vertical="top"/>
    </xf>
    <xf numFmtId="0" fontId="65" fillId="0" borderId="5" xfId="0" applyFont="1" applyBorder="1">
      <alignment vertical="center"/>
    </xf>
    <xf numFmtId="0" fontId="14" fillId="0" borderId="0" xfId="85" applyFont="1" applyFill="1" applyBorder="1" applyAlignment="1">
      <alignment horizontal="left" vertical="center"/>
    </xf>
    <xf numFmtId="0" fontId="5" fillId="0" borderId="1" xfId="86" applyFont="1" applyFill="1" applyBorder="1" applyAlignment="1">
      <alignment horizontal="center" vertical="center"/>
    </xf>
    <xf numFmtId="0" fontId="5" fillId="2" borderId="1" xfId="85" applyFont="1" applyFill="1" applyBorder="1" applyAlignment="1">
      <alignment horizontal="center" vertical="center"/>
    </xf>
    <xf numFmtId="0" fontId="5" fillId="2" borderId="1" xfId="85" applyFont="1" applyFill="1" applyBorder="1" applyAlignment="1">
      <alignment horizontal="center" vertical="center" wrapText="1"/>
    </xf>
    <xf numFmtId="0" fontId="5" fillId="0" borderId="1" xfId="88" applyFont="1" applyFill="1" applyBorder="1" applyAlignment="1">
      <alignment vertical="center" wrapText="1"/>
    </xf>
    <xf numFmtId="0" fontId="5" fillId="0" borderId="1" xfId="87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85" applyFont="1" applyAlignment="1">
      <alignment horizontal="center" vertical="center"/>
    </xf>
    <xf numFmtId="0" fontId="5" fillId="0" borderId="1" xfId="85" quotePrefix="1" applyFont="1" applyFill="1" applyBorder="1" applyAlignment="1">
      <alignment horizontal="center" vertical="center"/>
    </xf>
    <xf numFmtId="0" fontId="5" fillId="0" borderId="0" xfId="85" quotePrefix="1" applyFont="1">
      <alignment vertical="center"/>
    </xf>
    <xf numFmtId="0" fontId="5" fillId="0" borderId="0" xfId="85" applyFont="1" applyFill="1">
      <alignment vertical="center"/>
    </xf>
    <xf numFmtId="0" fontId="5" fillId="0" borderId="0" xfId="85" applyFont="1" applyAlignment="1">
      <alignment vertical="center"/>
    </xf>
    <xf numFmtId="0" fontId="5" fillId="0" borderId="0" xfId="85" applyFont="1" applyAlignment="1">
      <alignment horizontal="left" vertical="center"/>
    </xf>
    <xf numFmtId="0" fontId="0" fillId="0" borderId="0" xfId="0" applyFont="1" applyAlignment="1"/>
    <xf numFmtId="49" fontId="67" fillId="0" borderId="0" xfId="0" applyNumberFormat="1" applyFont="1" applyAlignment="1">
      <alignment horizontal="center"/>
    </xf>
    <xf numFmtId="0" fontId="67" fillId="0" borderId="0" xfId="0" applyFont="1" applyAlignment="1"/>
    <xf numFmtId="0" fontId="67" fillId="0" borderId="0" xfId="0" applyFont="1" applyAlignment="1">
      <alignment horizontal="center"/>
    </xf>
    <xf numFmtId="49" fontId="68" fillId="2" borderId="1" xfId="0" applyNumberFormat="1" applyFont="1" applyFill="1" applyBorder="1" applyAlignment="1">
      <alignment horizontal="center" vertical="center" wrapText="1"/>
    </xf>
    <xf numFmtId="0" fontId="68" fillId="2" borderId="2" xfId="0" applyFont="1" applyFill="1" applyBorder="1" applyAlignment="1">
      <alignment horizontal="center" vertical="center" wrapText="1"/>
    </xf>
    <xf numFmtId="0" fontId="68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0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Font="1" applyFill="1" applyBorder="1">
      <alignment vertical="center"/>
    </xf>
    <xf numFmtId="0" fontId="57" fillId="0" borderId="0" xfId="1423" applyFont="1" applyAlignment="1">
      <alignment horizontal="right"/>
    </xf>
    <xf numFmtId="0" fontId="59" fillId="0" borderId="17" xfId="1423" applyFont="1" applyBorder="1" applyAlignment="1">
      <alignment horizontal="right" vertical="center" wrapText="1"/>
    </xf>
    <xf numFmtId="0" fontId="59" fillId="0" borderId="18" xfId="1423" applyFont="1" applyBorder="1" applyAlignment="1">
      <alignment horizontal="right" vertical="center"/>
    </xf>
    <xf numFmtId="0" fontId="59" fillId="0" borderId="19" xfId="1423" applyFont="1" applyBorder="1" applyAlignment="1">
      <alignment horizontal="right" vertical="center"/>
    </xf>
    <xf numFmtId="0" fontId="59" fillId="0" borderId="20" xfId="1423" applyFont="1" applyBorder="1" applyAlignment="1">
      <alignment horizontal="right" vertical="center"/>
    </xf>
    <xf numFmtId="0" fontId="59" fillId="0" borderId="0" xfId="1423" applyFont="1" applyBorder="1" applyAlignment="1">
      <alignment horizontal="right" vertical="center"/>
    </xf>
    <xf numFmtId="0" fontId="59" fillId="0" borderId="21" xfId="1423" applyFont="1" applyBorder="1" applyAlignment="1">
      <alignment horizontal="right" vertical="center"/>
    </xf>
    <xf numFmtId="0" fontId="59" fillId="0" borderId="22" xfId="1423" applyFont="1" applyBorder="1" applyAlignment="1">
      <alignment horizontal="right" vertical="center"/>
    </xf>
    <xf numFmtId="0" fontId="59" fillId="0" borderId="23" xfId="1423" applyFont="1" applyBorder="1" applyAlignment="1">
      <alignment horizontal="right" vertical="center"/>
    </xf>
    <xf numFmtId="0" fontId="59" fillId="0" borderId="24" xfId="1423" applyFont="1" applyBorder="1" applyAlignment="1">
      <alignment horizontal="right" vertical="center"/>
    </xf>
    <xf numFmtId="0" fontId="61" fillId="35" borderId="0" xfId="1423" applyFont="1" applyFill="1" applyBorder="1" applyAlignment="1">
      <alignment horizontal="right" vertical="center"/>
    </xf>
    <xf numFmtId="49" fontId="66" fillId="0" borderId="0" xfId="0" applyNumberFormat="1" applyFont="1" applyAlignment="1">
      <alignment horizontal="center" vertical="center"/>
    </xf>
    <xf numFmtId="0" fontId="5" fillId="0" borderId="1" xfId="85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85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85" applyFont="1" applyBorder="1" applyAlignment="1">
      <alignment horizontal="left" vertical="center" wrapText="1"/>
    </xf>
    <xf numFmtId="0" fontId="5" fillId="0" borderId="1" xfId="85" applyFont="1" applyBorder="1" applyAlignment="1">
      <alignment vertical="center" wrapText="1"/>
    </xf>
    <xf numFmtId="0" fontId="5" fillId="2" borderId="2" xfId="86" applyFont="1" applyFill="1" applyBorder="1" applyAlignment="1">
      <alignment horizontal="center" vertical="center"/>
    </xf>
    <xf numFmtId="0" fontId="5" fillId="2" borderId="3" xfId="86" applyFont="1" applyFill="1" applyBorder="1" applyAlignment="1">
      <alignment horizontal="center" vertical="center"/>
    </xf>
    <xf numFmtId="0" fontId="5" fillId="2" borderId="1" xfId="85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2" borderId="1" xfId="86" applyFont="1" applyFill="1" applyBorder="1" applyAlignment="1">
      <alignment horizontal="center" vertical="center"/>
    </xf>
    <xf numFmtId="0" fontId="7" fillId="2" borderId="1" xfId="86" applyFont="1" applyFill="1" applyBorder="1" applyAlignment="1">
      <alignment vertical="center"/>
    </xf>
    <xf numFmtId="0" fontId="5" fillId="0" borderId="2" xfId="85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5" fillId="0" borderId="1" xfId="85" applyFont="1" applyBorder="1" applyAlignment="1">
      <alignment horizontal="center" vertical="center"/>
    </xf>
    <xf numFmtId="0" fontId="7" fillId="2" borderId="2" xfId="86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2" borderId="5" xfId="86" applyFont="1" applyFill="1" applyBorder="1" applyAlignment="1">
      <alignment horizontal="center" vertical="center"/>
    </xf>
    <xf numFmtId="0" fontId="5" fillId="2" borderId="6" xfId="86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3" xfId="85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425">
    <cellStyle name="??&amp;O?&amp;H?_x0008__x000f__x0007_?_x0007__x0001__x0001_" xfId="138"/>
    <cellStyle name="20% - 강조색1" xfId="110" builtinId="30" customBuiltin="1"/>
    <cellStyle name="20% - 강조색1 2" xfId="1"/>
    <cellStyle name="20% - 강조색1 2 2" xfId="2"/>
    <cellStyle name="20% - 강조색2" xfId="114" builtinId="34" customBuiltin="1"/>
    <cellStyle name="20% - 강조색2 2" xfId="3"/>
    <cellStyle name="20% - 강조색2 2 2" xfId="4"/>
    <cellStyle name="20% - 강조색3" xfId="118" builtinId="38" customBuiltin="1"/>
    <cellStyle name="20% - 강조색3 2" xfId="5"/>
    <cellStyle name="20% - 강조색3 2 2" xfId="6"/>
    <cellStyle name="20% - 강조색4" xfId="122" builtinId="42" customBuiltin="1"/>
    <cellStyle name="20% - 강조색4 2" xfId="7"/>
    <cellStyle name="20% - 강조색4 2 2" xfId="8"/>
    <cellStyle name="20% - 강조색5" xfId="126" builtinId="46" customBuiltin="1"/>
    <cellStyle name="20% - 강조색5 2" xfId="9"/>
    <cellStyle name="20% - 강조색5 2 2" xfId="10"/>
    <cellStyle name="20% - 강조색6" xfId="130" builtinId="50" customBuiltin="1"/>
    <cellStyle name="20% - 강조색6 2" xfId="11"/>
    <cellStyle name="20% - 강조색6 2 2" xfId="12"/>
    <cellStyle name="40% - 강조색1" xfId="111" builtinId="31" customBuiltin="1"/>
    <cellStyle name="40% - 강조색1 2" xfId="13"/>
    <cellStyle name="40% - 강조색1 2 2" xfId="14"/>
    <cellStyle name="40% - 강조색2" xfId="115" builtinId="35" customBuiltin="1"/>
    <cellStyle name="40% - 강조색2 2" xfId="15"/>
    <cellStyle name="40% - 강조색2 2 2" xfId="16"/>
    <cellStyle name="40% - 강조색3" xfId="119" builtinId="39" customBuiltin="1"/>
    <cellStyle name="40% - 강조색3 2" xfId="17"/>
    <cellStyle name="40% - 강조색3 2 2" xfId="18"/>
    <cellStyle name="40% - 강조색4" xfId="123" builtinId="43" customBuiltin="1"/>
    <cellStyle name="40% - 강조색4 2" xfId="19"/>
    <cellStyle name="40% - 강조색4 2 2" xfId="20"/>
    <cellStyle name="40% - 강조색5" xfId="127" builtinId="47" customBuiltin="1"/>
    <cellStyle name="40% - 강조색5 2" xfId="21"/>
    <cellStyle name="40% - 강조색5 2 2" xfId="22"/>
    <cellStyle name="40% - 강조색6" xfId="131" builtinId="51" customBuiltin="1"/>
    <cellStyle name="40% - 강조색6 2" xfId="23"/>
    <cellStyle name="40% - 강조색6 2 2" xfId="24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1" xfId="676"/>
    <cellStyle name="표준 10 12" xfId="677"/>
    <cellStyle name="표준 10 2" xfId="257"/>
    <cellStyle name="표준 10 2 2" xfId="678"/>
    <cellStyle name="표준 10 2 2 2" xfId="679"/>
    <cellStyle name="표준 10 2 2 3" xfId="680"/>
    <cellStyle name="표준 10 2 2 4" xfId="681"/>
    <cellStyle name="표준 10 2 2 5" xfId="682"/>
    <cellStyle name="표준 10 2 3" xfId="683"/>
    <cellStyle name="표준 10 2 4" xfId="684"/>
    <cellStyle name="표준 10 2 5" xfId="685"/>
    <cellStyle name="표준 10 2 6" xfId="686"/>
    <cellStyle name="표준 10 3" xfId="363"/>
    <cellStyle name="표준 10 3 2" xfId="687"/>
    <cellStyle name="표준 10 3 2 2" xfId="688"/>
    <cellStyle name="표준 10 3 2 3" xfId="689"/>
    <cellStyle name="표준 10 3 2 4" xfId="690"/>
    <cellStyle name="표준 10 3 2 5" xfId="691"/>
    <cellStyle name="표준 10 3 3" xfId="692"/>
    <cellStyle name="표준 10 3 4" xfId="693"/>
    <cellStyle name="표준 10 3 5" xfId="694"/>
    <cellStyle name="표준 10 3 6" xfId="695"/>
    <cellStyle name="표준 10 4" xfId="469"/>
    <cellStyle name="표준 10 4 2" xfId="696"/>
    <cellStyle name="표준 10 4 2 2" xfId="697"/>
    <cellStyle name="표준 10 4 2 3" xfId="698"/>
    <cellStyle name="표준 10 4 2 4" xfId="699"/>
    <cellStyle name="표준 10 4 2 5" xfId="700"/>
    <cellStyle name="표준 10 4 3" xfId="701"/>
    <cellStyle name="표준 10 4 4" xfId="702"/>
    <cellStyle name="표준 10 4 5" xfId="703"/>
    <cellStyle name="표준 10 4 6" xfId="704"/>
    <cellStyle name="표준 10 5" xfId="575"/>
    <cellStyle name="표준 10 5 2" xfId="705"/>
    <cellStyle name="표준 10 5 2 2" xfId="706"/>
    <cellStyle name="표준 10 5 2 3" xfId="707"/>
    <cellStyle name="표준 10 5 2 4" xfId="708"/>
    <cellStyle name="표준 10 5 2 5" xfId="709"/>
    <cellStyle name="표준 10 5 3" xfId="710"/>
    <cellStyle name="표준 10 5 4" xfId="711"/>
    <cellStyle name="표준 10 5 5" xfId="712"/>
    <cellStyle name="표준 10 5 6" xfId="713"/>
    <cellStyle name="표준 10 6" xfId="714"/>
    <cellStyle name="표준 10 6 2" xfId="715"/>
    <cellStyle name="표준 10 6 2 2" xfId="716"/>
    <cellStyle name="표준 10 6 2 3" xfId="717"/>
    <cellStyle name="표준 10 6 2 4" xfId="718"/>
    <cellStyle name="표준 10 6 2 5" xfId="719"/>
    <cellStyle name="표준 10 6 3" xfId="720"/>
    <cellStyle name="표준 10 6 4" xfId="721"/>
    <cellStyle name="표준 10 6 5" xfId="722"/>
    <cellStyle name="표준 10 6 6" xfId="723"/>
    <cellStyle name="표준 10 7" xfId="724"/>
    <cellStyle name="표준 10 7 2" xfId="725"/>
    <cellStyle name="표준 10 7 2 2" xfId="726"/>
    <cellStyle name="표준 10 7 2 3" xfId="727"/>
    <cellStyle name="표준 10 7 2 4" xfId="728"/>
    <cellStyle name="표준 10 7 2 5" xfId="729"/>
    <cellStyle name="표준 10 7 3" xfId="730"/>
    <cellStyle name="표준 10 7 4" xfId="731"/>
    <cellStyle name="표준 10 7 5" xfId="732"/>
    <cellStyle name="표준 10 7 6" xfId="733"/>
    <cellStyle name="표준 10 8" xfId="734"/>
    <cellStyle name="표준 10 8 2" xfId="735"/>
    <cellStyle name="표준 10 8 3" xfId="736"/>
    <cellStyle name="표준 10 8 4" xfId="737"/>
    <cellStyle name="표준 10 8 5" xfId="738"/>
    <cellStyle name="표준 10 9" xfId="739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1" xfId="741"/>
    <cellStyle name="표준 11 12" xfId="742"/>
    <cellStyle name="표준 11 2" xfId="258"/>
    <cellStyle name="표준 11 2 2" xfId="743"/>
    <cellStyle name="표준 11 2 2 2" xfId="744"/>
    <cellStyle name="표준 11 2 2 3" xfId="745"/>
    <cellStyle name="표준 11 2 2 4" xfId="746"/>
    <cellStyle name="표준 11 2 2 5" xfId="747"/>
    <cellStyle name="표준 11 2 3" xfId="748"/>
    <cellStyle name="표준 11 2 4" xfId="749"/>
    <cellStyle name="표준 11 2 5" xfId="750"/>
    <cellStyle name="표준 11 2 6" xfId="751"/>
    <cellStyle name="표준 11 3" xfId="364"/>
    <cellStyle name="표준 11 3 2" xfId="752"/>
    <cellStyle name="표준 11 3 2 2" xfId="753"/>
    <cellStyle name="표준 11 3 2 3" xfId="754"/>
    <cellStyle name="표준 11 3 2 4" xfId="755"/>
    <cellStyle name="표준 11 3 2 5" xfId="756"/>
    <cellStyle name="표준 11 3 3" xfId="757"/>
    <cellStyle name="표준 11 3 4" xfId="758"/>
    <cellStyle name="표준 11 3 5" xfId="759"/>
    <cellStyle name="표준 11 3 6" xfId="760"/>
    <cellStyle name="표준 11 4" xfId="470"/>
    <cellStyle name="표준 11 4 2" xfId="761"/>
    <cellStyle name="표준 11 4 2 2" xfId="762"/>
    <cellStyle name="표준 11 4 2 3" xfId="763"/>
    <cellStyle name="표준 11 4 2 4" xfId="764"/>
    <cellStyle name="표준 11 4 2 5" xfId="765"/>
    <cellStyle name="표준 11 4 3" xfId="766"/>
    <cellStyle name="표준 11 4 4" xfId="767"/>
    <cellStyle name="표준 11 4 5" xfId="768"/>
    <cellStyle name="표준 11 4 6" xfId="769"/>
    <cellStyle name="표준 11 5" xfId="576"/>
    <cellStyle name="표준 11 5 2" xfId="770"/>
    <cellStyle name="표준 11 5 2 2" xfId="771"/>
    <cellStyle name="표준 11 5 2 3" xfId="772"/>
    <cellStyle name="표준 11 5 2 4" xfId="773"/>
    <cellStyle name="표준 11 5 2 5" xfId="774"/>
    <cellStyle name="표준 11 5 3" xfId="775"/>
    <cellStyle name="표준 11 5 4" xfId="776"/>
    <cellStyle name="표준 11 5 5" xfId="777"/>
    <cellStyle name="표준 11 5 6" xfId="778"/>
    <cellStyle name="표준 11 6" xfId="779"/>
    <cellStyle name="표준 11 6 2" xfId="780"/>
    <cellStyle name="표준 11 6 2 2" xfId="781"/>
    <cellStyle name="표준 11 6 2 3" xfId="782"/>
    <cellStyle name="표준 11 6 2 4" xfId="783"/>
    <cellStyle name="표준 11 6 2 5" xfId="784"/>
    <cellStyle name="표준 11 6 3" xfId="785"/>
    <cellStyle name="표준 11 6 4" xfId="786"/>
    <cellStyle name="표준 11 6 5" xfId="787"/>
    <cellStyle name="표준 11 6 6" xfId="788"/>
    <cellStyle name="표준 11 7" xfId="789"/>
    <cellStyle name="표준 11 7 2" xfId="790"/>
    <cellStyle name="표준 11 7 2 2" xfId="791"/>
    <cellStyle name="표준 11 7 2 3" xfId="792"/>
    <cellStyle name="표준 11 7 2 4" xfId="793"/>
    <cellStyle name="표준 11 7 2 5" xfId="794"/>
    <cellStyle name="표준 11 7 3" xfId="795"/>
    <cellStyle name="표준 11 7 4" xfId="796"/>
    <cellStyle name="표준 11 7 5" xfId="797"/>
    <cellStyle name="표준 11 7 6" xfId="798"/>
    <cellStyle name="표준 11 8" xfId="799"/>
    <cellStyle name="표준 11 8 2" xfId="800"/>
    <cellStyle name="표준 11 8 3" xfId="801"/>
    <cellStyle name="표준 11 8 4" xfId="802"/>
    <cellStyle name="표준 11 8 5" xfId="803"/>
    <cellStyle name="표준 11 9" xfId="804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1" xfId="806"/>
    <cellStyle name="표준 12 12" xfId="807"/>
    <cellStyle name="표준 12 2" xfId="259"/>
    <cellStyle name="표준 12 2 2" xfId="808"/>
    <cellStyle name="표준 12 2 2 2" xfId="809"/>
    <cellStyle name="표준 12 2 2 3" xfId="810"/>
    <cellStyle name="표준 12 2 2 4" xfId="811"/>
    <cellStyle name="표준 12 2 2 5" xfId="812"/>
    <cellStyle name="표준 12 2 3" xfId="813"/>
    <cellStyle name="표준 12 2 4" xfId="814"/>
    <cellStyle name="표준 12 2 5" xfId="815"/>
    <cellStyle name="표준 12 2 6" xfId="816"/>
    <cellStyle name="표준 12 3" xfId="365"/>
    <cellStyle name="표준 12 3 2" xfId="817"/>
    <cellStyle name="표준 12 3 2 2" xfId="818"/>
    <cellStyle name="표준 12 3 2 3" xfId="819"/>
    <cellStyle name="표준 12 3 2 4" xfId="820"/>
    <cellStyle name="표준 12 3 2 5" xfId="821"/>
    <cellStyle name="표준 12 3 3" xfId="822"/>
    <cellStyle name="표준 12 3 4" xfId="823"/>
    <cellStyle name="표준 12 3 5" xfId="824"/>
    <cellStyle name="표준 12 3 6" xfId="825"/>
    <cellStyle name="표준 12 4" xfId="471"/>
    <cellStyle name="표준 12 4 2" xfId="826"/>
    <cellStyle name="표준 12 4 2 2" xfId="827"/>
    <cellStyle name="표준 12 4 2 3" xfId="828"/>
    <cellStyle name="표준 12 4 2 4" xfId="829"/>
    <cellStyle name="표준 12 4 2 5" xfId="830"/>
    <cellStyle name="표준 12 4 3" xfId="831"/>
    <cellStyle name="표준 12 4 4" xfId="832"/>
    <cellStyle name="표준 12 4 5" xfId="833"/>
    <cellStyle name="표준 12 4 6" xfId="834"/>
    <cellStyle name="표준 12 5" xfId="577"/>
    <cellStyle name="표준 12 5 2" xfId="835"/>
    <cellStyle name="표준 12 5 2 2" xfId="836"/>
    <cellStyle name="표준 12 5 2 3" xfId="837"/>
    <cellStyle name="표준 12 5 2 4" xfId="838"/>
    <cellStyle name="표준 12 5 2 5" xfId="839"/>
    <cellStyle name="표준 12 5 3" xfId="840"/>
    <cellStyle name="표준 12 5 4" xfId="841"/>
    <cellStyle name="표준 12 5 5" xfId="842"/>
    <cellStyle name="표준 12 5 6" xfId="843"/>
    <cellStyle name="표준 12 6" xfId="844"/>
    <cellStyle name="표준 12 6 2" xfId="845"/>
    <cellStyle name="표준 12 6 2 2" xfId="846"/>
    <cellStyle name="표준 12 6 2 3" xfId="847"/>
    <cellStyle name="표준 12 6 2 4" xfId="848"/>
    <cellStyle name="표준 12 6 2 5" xfId="849"/>
    <cellStyle name="표준 12 6 3" xfId="850"/>
    <cellStyle name="표준 12 6 4" xfId="851"/>
    <cellStyle name="표준 12 6 5" xfId="852"/>
    <cellStyle name="표준 12 6 6" xfId="853"/>
    <cellStyle name="표준 12 7" xfId="854"/>
    <cellStyle name="표준 12 7 2" xfId="855"/>
    <cellStyle name="표준 12 7 2 2" xfId="856"/>
    <cellStyle name="표준 12 7 2 3" xfId="857"/>
    <cellStyle name="표준 12 7 2 4" xfId="858"/>
    <cellStyle name="표준 12 7 2 5" xfId="859"/>
    <cellStyle name="표준 12 7 3" xfId="860"/>
    <cellStyle name="표준 12 7 4" xfId="861"/>
    <cellStyle name="표준 12 7 5" xfId="862"/>
    <cellStyle name="표준 12 7 6" xfId="863"/>
    <cellStyle name="표준 12 8" xfId="864"/>
    <cellStyle name="표준 12 8 2" xfId="865"/>
    <cellStyle name="표준 12 8 3" xfId="866"/>
    <cellStyle name="표준 12 8 4" xfId="867"/>
    <cellStyle name="표준 12 8 5" xfId="868"/>
    <cellStyle name="표준 12 9" xfId="869"/>
    <cellStyle name="표준 13" xfId="157"/>
    <cellStyle name="표준 13 10" xfId="870"/>
    <cellStyle name="표준 13 11" xfId="871"/>
    <cellStyle name="표준 13 12" xfId="872"/>
    <cellStyle name="표준 13 2" xfId="260"/>
    <cellStyle name="표준 13 2 2" xfId="873"/>
    <cellStyle name="표준 13 2 2 2" xfId="874"/>
    <cellStyle name="표준 13 2 2 3" xfId="875"/>
    <cellStyle name="표준 13 2 2 4" xfId="876"/>
    <cellStyle name="표준 13 2 2 5" xfId="877"/>
    <cellStyle name="표준 13 2 3" xfId="878"/>
    <cellStyle name="표준 13 2 4" xfId="879"/>
    <cellStyle name="표준 13 2 5" xfId="880"/>
    <cellStyle name="표준 13 2 6" xfId="881"/>
    <cellStyle name="표준 13 3" xfId="366"/>
    <cellStyle name="표준 13 3 2" xfId="882"/>
    <cellStyle name="표준 13 3 2 2" xfId="883"/>
    <cellStyle name="표준 13 3 2 3" xfId="884"/>
    <cellStyle name="표준 13 3 2 4" xfId="885"/>
    <cellStyle name="표준 13 3 2 5" xfId="886"/>
    <cellStyle name="표준 13 3 3" xfId="887"/>
    <cellStyle name="표준 13 3 4" xfId="888"/>
    <cellStyle name="표준 13 3 5" xfId="889"/>
    <cellStyle name="표준 13 3 6" xfId="890"/>
    <cellStyle name="표준 13 4" xfId="472"/>
    <cellStyle name="표준 13 4 2" xfId="891"/>
    <cellStyle name="표준 13 4 2 2" xfId="892"/>
    <cellStyle name="표준 13 4 2 3" xfId="893"/>
    <cellStyle name="표준 13 4 2 4" xfId="894"/>
    <cellStyle name="표준 13 4 2 5" xfId="895"/>
    <cellStyle name="표준 13 4 3" xfId="896"/>
    <cellStyle name="표준 13 4 4" xfId="897"/>
    <cellStyle name="표준 13 4 5" xfId="898"/>
    <cellStyle name="표준 13 4 6" xfId="899"/>
    <cellStyle name="표준 13 5" xfId="578"/>
    <cellStyle name="표준 13 5 2" xfId="900"/>
    <cellStyle name="표준 13 5 2 2" xfId="901"/>
    <cellStyle name="표준 13 5 2 3" xfId="902"/>
    <cellStyle name="표준 13 5 2 4" xfId="903"/>
    <cellStyle name="표준 13 5 2 5" xfId="904"/>
    <cellStyle name="표준 13 5 3" xfId="905"/>
    <cellStyle name="표준 13 5 4" xfId="906"/>
    <cellStyle name="표준 13 5 5" xfId="907"/>
    <cellStyle name="표준 13 5 6" xfId="908"/>
    <cellStyle name="표준 13 6" xfId="909"/>
    <cellStyle name="표준 13 6 2" xfId="910"/>
    <cellStyle name="표준 13 6 2 2" xfId="911"/>
    <cellStyle name="표준 13 6 2 3" xfId="912"/>
    <cellStyle name="표준 13 6 2 4" xfId="913"/>
    <cellStyle name="표준 13 6 2 5" xfId="914"/>
    <cellStyle name="표준 13 6 3" xfId="915"/>
    <cellStyle name="표준 13 6 4" xfId="916"/>
    <cellStyle name="표준 13 6 5" xfId="917"/>
    <cellStyle name="표준 13 6 6" xfId="918"/>
    <cellStyle name="표준 13 7" xfId="919"/>
    <cellStyle name="표준 13 7 2" xfId="920"/>
    <cellStyle name="표준 13 7 2 2" xfId="921"/>
    <cellStyle name="표준 13 7 2 3" xfId="922"/>
    <cellStyle name="표준 13 7 2 4" xfId="923"/>
    <cellStyle name="표준 13 7 2 5" xfId="924"/>
    <cellStyle name="표준 13 7 3" xfId="925"/>
    <cellStyle name="표준 13 7 4" xfId="926"/>
    <cellStyle name="표준 13 7 5" xfId="927"/>
    <cellStyle name="표준 13 7 6" xfId="928"/>
    <cellStyle name="표준 13 8" xfId="929"/>
    <cellStyle name="표준 13 8 2" xfId="930"/>
    <cellStyle name="표준 13 8 3" xfId="931"/>
    <cellStyle name="표준 13 8 4" xfId="932"/>
    <cellStyle name="표준 13 8 5" xfId="933"/>
    <cellStyle name="표준 13 9" xfId="934"/>
    <cellStyle name="표준 14" xfId="158"/>
    <cellStyle name="표준 14 10" xfId="935"/>
    <cellStyle name="표준 14 11" xfId="936"/>
    <cellStyle name="표준 14 12" xfId="937"/>
    <cellStyle name="표준 14 2" xfId="261"/>
    <cellStyle name="표준 14 2 2" xfId="938"/>
    <cellStyle name="표준 14 2 2 2" xfId="939"/>
    <cellStyle name="표준 14 2 2 3" xfId="940"/>
    <cellStyle name="표준 14 2 2 4" xfId="941"/>
    <cellStyle name="표준 14 2 2 5" xfId="942"/>
    <cellStyle name="표준 14 2 3" xfId="943"/>
    <cellStyle name="표준 14 2 4" xfId="944"/>
    <cellStyle name="표준 14 2 5" xfId="945"/>
    <cellStyle name="표준 14 2 6" xfId="946"/>
    <cellStyle name="표준 14 3" xfId="367"/>
    <cellStyle name="표준 14 3 2" xfId="947"/>
    <cellStyle name="표준 14 3 2 2" xfId="948"/>
    <cellStyle name="표준 14 3 2 3" xfId="949"/>
    <cellStyle name="표준 14 3 2 4" xfId="950"/>
    <cellStyle name="표준 14 3 2 5" xfId="951"/>
    <cellStyle name="표준 14 3 3" xfId="952"/>
    <cellStyle name="표준 14 3 4" xfId="953"/>
    <cellStyle name="표준 14 3 5" xfId="954"/>
    <cellStyle name="표준 14 3 6" xfId="955"/>
    <cellStyle name="표준 14 4" xfId="473"/>
    <cellStyle name="표준 14 4 2" xfId="956"/>
    <cellStyle name="표준 14 4 2 2" xfId="957"/>
    <cellStyle name="표준 14 4 2 3" xfId="958"/>
    <cellStyle name="표준 14 4 2 4" xfId="959"/>
    <cellStyle name="표준 14 4 2 5" xfId="960"/>
    <cellStyle name="표준 14 4 3" xfId="961"/>
    <cellStyle name="표준 14 4 4" xfId="962"/>
    <cellStyle name="표준 14 4 5" xfId="963"/>
    <cellStyle name="표준 14 4 6" xfId="964"/>
    <cellStyle name="표준 14 5" xfId="579"/>
    <cellStyle name="표준 14 5 2" xfId="965"/>
    <cellStyle name="표준 14 5 2 2" xfId="966"/>
    <cellStyle name="표준 14 5 2 3" xfId="967"/>
    <cellStyle name="표준 14 5 2 4" xfId="968"/>
    <cellStyle name="표준 14 5 2 5" xfId="969"/>
    <cellStyle name="표준 14 5 3" xfId="970"/>
    <cellStyle name="표준 14 5 4" xfId="971"/>
    <cellStyle name="표준 14 5 5" xfId="972"/>
    <cellStyle name="표준 14 5 6" xfId="973"/>
    <cellStyle name="표준 14 6" xfId="974"/>
    <cellStyle name="표준 14 6 2" xfId="975"/>
    <cellStyle name="표준 14 6 2 2" xfId="976"/>
    <cellStyle name="표준 14 6 2 3" xfId="977"/>
    <cellStyle name="표준 14 6 2 4" xfId="978"/>
    <cellStyle name="표준 14 6 2 5" xfId="979"/>
    <cellStyle name="표준 14 6 3" xfId="980"/>
    <cellStyle name="표준 14 6 4" xfId="981"/>
    <cellStyle name="표준 14 6 5" xfId="982"/>
    <cellStyle name="표준 14 6 6" xfId="983"/>
    <cellStyle name="표준 14 7" xfId="984"/>
    <cellStyle name="표준 14 7 2" xfId="985"/>
    <cellStyle name="표준 14 7 2 2" xfId="986"/>
    <cellStyle name="표준 14 7 2 3" xfId="987"/>
    <cellStyle name="표준 14 7 2 4" xfId="988"/>
    <cellStyle name="표준 14 7 2 5" xfId="989"/>
    <cellStyle name="표준 14 7 3" xfId="990"/>
    <cellStyle name="표준 14 7 4" xfId="991"/>
    <cellStyle name="표준 14 7 5" xfId="992"/>
    <cellStyle name="표준 14 7 6" xfId="993"/>
    <cellStyle name="표준 14 8" xfId="994"/>
    <cellStyle name="표준 14 8 2" xfId="995"/>
    <cellStyle name="표준 14 8 3" xfId="996"/>
    <cellStyle name="표준 14 8 4" xfId="997"/>
    <cellStyle name="표준 14 8 5" xfId="998"/>
    <cellStyle name="표준 14 9" xfId="999"/>
    <cellStyle name="표준 15" xfId="159"/>
    <cellStyle name="표준 15 10" xfId="1000"/>
    <cellStyle name="표준 15 11" xfId="1001"/>
    <cellStyle name="표준 15 12" xfId="1002"/>
    <cellStyle name="표준 15 2" xfId="262"/>
    <cellStyle name="표준 15 2 2" xfId="1003"/>
    <cellStyle name="표준 15 2 2 2" xfId="1004"/>
    <cellStyle name="표준 15 2 2 3" xfId="1005"/>
    <cellStyle name="표준 15 2 2 4" xfId="1006"/>
    <cellStyle name="표준 15 2 2 5" xfId="1007"/>
    <cellStyle name="표준 15 2 3" xfId="1008"/>
    <cellStyle name="표준 15 2 4" xfId="1009"/>
    <cellStyle name="표준 15 2 5" xfId="1010"/>
    <cellStyle name="표준 15 2 6" xfId="1011"/>
    <cellStyle name="표준 15 3" xfId="368"/>
    <cellStyle name="표준 15 3 2" xfId="1012"/>
    <cellStyle name="표준 15 3 2 2" xfId="1013"/>
    <cellStyle name="표준 15 3 2 3" xfId="1014"/>
    <cellStyle name="표준 15 3 2 4" xfId="1015"/>
    <cellStyle name="표준 15 3 2 5" xfId="1016"/>
    <cellStyle name="표준 15 3 3" xfId="1017"/>
    <cellStyle name="표준 15 3 4" xfId="1018"/>
    <cellStyle name="표준 15 3 5" xfId="1019"/>
    <cellStyle name="표준 15 3 6" xfId="1020"/>
    <cellStyle name="표준 15 4" xfId="474"/>
    <cellStyle name="표준 15 4 2" xfId="1021"/>
    <cellStyle name="표준 15 4 2 2" xfId="1022"/>
    <cellStyle name="표준 15 4 2 3" xfId="1023"/>
    <cellStyle name="표준 15 4 2 4" xfId="1024"/>
    <cellStyle name="표준 15 4 2 5" xfId="1025"/>
    <cellStyle name="표준 15 4 3" xfId="1026"/>
    <cellStyle name="표준 15 4 4" xfId="1027"/>
    <cellStyle name="표준 15 4 5" xfId="1028"/>
    <cellStyle name="표준 15 4 6" xfId="1029"/>
    <cellStyle name="표준 15 5" xfId="580"/>
    <cellStyle name="표준 15 5 2" xfId="1030"/>
    <cellStyle name="표준 15 5 2 2" xfId="1031"/>
    <cellStyle name="표준 15 5 2 3" xfId="1032"/>
    <cellStyle name="표준 15 5 2 4" xfId="1033"/>
    <cellStyle name="표준 15 5 2 5" xfId="1034"/>
    <cellStyle name="표준 15 5 3" xfId="1035"/>
    <cellStyle name="표준 15 5 4" xfId="1036"/>
    <cellStyle name="표준 15 5 5" xfId="1037"/>
    <cellStyle name="표준 15 5 6" xfId="1038"/>
    <cellStyle name="표준 15 6" xfId="1039"/>
    <cellStyle name="표준 15 6 2" xfId="1040"/>
    <cellStyle name="표준 15 6 2 2" xfId="1041"/>
    <cellStyle name="표준 15 6 2 3" xfId="1042"/>
    <cellStyle name="표준 15 6 2 4" xfId="1043"/>
    <cellStyle name="표준 15 6 2 5" xfId="1044"/>
    <cellStyle name="표준 15 6 3" xfId="1045"/>
    <cellStyle name="표준 15 6 4" xfId="1046"/>
    <cellStyle name="표준 15 6 5" xfId="1047"/>
    <cellStyle name="표준 15 6 6" xfId="1048"/>
    <cellStyle name="표준 15 7" xfId="1049"/>
    <cellStyle name="표준 15 7 2" xfId="1050"/>
    <cellStyle name="표준 15 7 2 2" xfId="1051"/>
    <cellStyle name="표준 15 7 2 3" xfId="1052"/>
    <cellStyle name="표준 15 7 2 4" xfId="1053"/>
    <cellStyle name="표준 15 7 2 5" xfId="1054"/>
    <cellStyle name="표준 15 7 3" xfId="1055"/>
    <cellStyle name="표준 15 7 4" xfId="1056"/>
    <cellStyle name="표준 15 7 5" xfId="1057"/>
    <cellStyle name="표준 15 7 6" xfId="1058"/>
    <cellStyle name="표준 15 8" xfId="1059"/>
    <cellStyle name="표준 15 8 2" xfId="1060"/>
    <cellStyle name="표준 15 8 3" xfId="1061"/>
    <cellStyle name="표준 15 8 4" xfId="1062"/>
    <cellStyle name="표준 15 8 5" xfId="1063"/>
    <cellStyle name="표준 15 9" xfId="1064"/>
    <cellStyle name="표준 16" xfId="160"/>
    <cellStyle name="표준 16 2" xfId="263"/>
    <cellStyle name="표준 16 2 2" xfId="1065"/>
    <cellStyle name="표준 16 2 3" xfId="1066"/>
    <cellStyle name="표준 16 2 4" xfId="1067"/>
    <cellStyle name="표준 16 2 5" xfId="1068"/>
    <cellStyle name="표준 16 3" xfId="369"/>
    <cellStyle name="표준 16 4" xfId="475"/>
    <cellStyle name="표준 16 5" xfId="581"/>
    <cellStyle name="표준 16 6" xfId="1069"/>
    <cellStyle name="표준 17" xfId="161"/>
    <cellStyle name="표준 17 2" xfId="264"/>
    <cellStyle name="표준 17 2 2" xfId="1070"/>
    <cellStyle name="표준 17 2 3" xfId="1071"/>
    <cellStyle name="표준 17 2 4" xfId="1072"/>
    <cellStyle name="표준 17 2 5" xfId="1073"/>
    <cellStyle name="표준 17 3" xfId="370"/>
    <cellStyle name="표준 17 4" xfId="476"/>
    <cellStyle name="표준 17 5" xfId="582"/>
    <cellStyle name="표준 17 6" xfId="1074"/>
    <cellStyle name="표준 18" xfId="135"/>
    <cellStyle name="표준 18 2" xfId="1075"/>
    <cellStyle name="표준 18 2 2" xfId="1076"/>
    <cellStyle name="표준 18 2 3" xfId="1077"/>
    <cellStyle name="표준 18 2 4" xfId="1078"/>
    <cellStyle name="표준 18 2 5" xfId="1079"/>
    <cellStyle name="표준 18 3" xfId="1080"/>
    <cellStyle name="표준 18 4" xfId="1081"/>
    <cellStyle name="표준 18 5" xfId="1082"/>
    <cellStyle name="표준 18 6" xfId="1083"/>
    <cellStyle name="표준 19" xfId="674"/>
    <cellStyle name="표준 19 2" xfId="265"/>
    <cellStyle name="표준 19 2 2" xfId="1084"/>
    <cellStyle name="표준 19 2 3" xfId="1085"/>
    <cellStyle name="표준 19 2 4" xfId="1086"/>
    <cellStyle name="표준 19 2 5" xfId="1087"/>
    <cellStyle name="표준 19 3" xfId="371"/>
    <cellStyle name="표준 19 4" xfId="477"/>
    <cellStyle name="표준 19 5" xfId="583"/>
    <cellStyle name="표준 19 6" xfId="1088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2" xfId="1172"/>
    <cellStyle name="표준 20 2 2" xfId="1173"/>
    <cellStyle name="표준 20 2 3" xfId="1174"/>
    <cellStyle name="표준 20 2 4" xfId="1175"/>
    <cellStyle name="표준 20 2 5" xfId="1176"/>
    <cellStyle name="표준 20 3" xfId="1177"/>
    <cellStyle name="표준 20 4" xfId="1178"/>
    <cellStyle name="표준 20 5" xfId="1179"/>
    <cellStyle name="표준 20 6" xfId="1180"/>
    <cellStyle name="표준 21" xfId="162"/>
    <cellStyle name="표준 21 2" xfId="266"/>
    <cellStyle name="표준 21 2 2" xfId="1181"/>
    <cellStyle name="표준 21 2 3" xfId="1182"/>
    <cellStyle name="표준 21 2 4" xfId="1183"/>
    <cellStyle name="표준 21 2 5" xfId="1184"/>
    <cellStyle name="표준 21 3" xfId="372"/>
    <cellStyle name="표준 21 4" xfId="478"/>
    <cellStyle name="표준 21 5" xfId="584"/>
    <cellStyle name="표준 21 6" xfId="118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3" xfId="1187"/>
    <cellStyle name="표준 23 2 4" xfId="1188"/>
    <cellStyle name="표준 23 2 5" xfId="1189"/>
    <cellStyle name="표준 23 3" xfId="374"/>
    <cellStyle name="표준 23 4" xfId="480"/>
    <cellStyle name="표준 23 5" xfId="586"/>
    <cellStyle name="표준 23 6" xfId="1190"/>
    <cellStyle name="표준 24" xfId="165"/>
    <cellStyle name="표준 24 2" xfId="269"/>
    <cellStyle name="표준 24 2 2" xfId="1191"/>
    <cellStyle name="표준 24 2 3" xfId="1192"/>
    <cellStyle name="표준 24 2 4" xfId="1193"/>
    <cellStyle name="표준 24 2 5" xfId="1194"/>
    <cellStyle name="표준 24 3" xfId="375"/>
    <cellStyle name="표준 24 4" xfId="481"/>
    <cellStyle name="표준 24 5" xfId="587"/>
    <cellStyle name="표준 24 6" xfId="1195"/>
    <cellStyle name="표준 25" xfId="166"/>
    <cellStyle name="표준 25 2" xfId="270"/>
    <cellStyle name="표준 25 2 2" xfId="1196"/>
    <cellStyle name="표준 25 2 3" xfId="1197"/>
    <cellStyle name="표준 25 2 4" xfId="1198"/>
    <cellStyle name="표준 25 2 5" xfId="1199"/>
    <cellStyle name="표준 25 3" xfId="376"/>
    <cellStyle name="표준 25 4" xfId="482"/>
    <cellStyle name="표준 25 5" xfId="588"/>
    <cellStyle name="표준 25 6" xfId="1200"/>
    <cellStyle name="표준 26" xfId="1201"/>
    <cellStyle name="표준 26 2" xfId="271"/>
    <cellStyle name="표준 26 2 2" xfId="1202"/>
    <cellStyle name="표준 26 2 3" xfId="1203"/>
    <cellStyle name="표준 26 2 4" xfId="1204"/>
    <cellStyle name="표준 26 2 5" xfId="1205"/>
    <cellStyle name="표준 26 3" xfId="377"/>
    <cellStyle name="표준 26 4" xfId="483"/>
    <cellStyle name="표준 26 5" xfId="589"/>
    <cellStyle name="표준 26 6" xfId="1206"/>
    <cellStyle name="표준 27" xfId="167"/>
    <cellStyle name="표준 27 2" xfId="272"/>
    <cellStyle name="표준 27 2 2" xfId="1207"/>
    <cellStyle name="표준 27 2 3" xfId="1208"/>
    <cellStyle name="표준 27 2 4" xfId="1209"/>
    <cellStyle name="표준 27 2 5" xfId="1210"/>
    <cellStyle name="표준 27 3" xfId="378"/>
    <cellStyle name="표준 27 4" xfId="484"/>
    <cellStyle name="표준 27 5" xfId="590"/>
    <cellStyle name="표준 27 6" xfId="1211"/>
    <cellStyle name="표준 28" xfId="168"/>
    <cellStyle name="표준 28 2" xfId="273"/>
    <cellStyle name="표준 28 2 2" xfId="1212"/>
    <cellStyle name="표준 28 2 3" xfId="1213"/>
    <cellStyle name="표준 28 2 4" xfId="1214"/>
    <cellStyle name="표준 28 2 5" xfId="1215"/>
    <cellStyle name="표준 28 3" xfId="379"/>
    <cellStyle name="표준 28 4" xfId="485"/>
    <cellStyle name="표준 28 5" xfId="591"/>
    <cellStyle name="표준 28 6" xfId="1216"/>
    <cellStyle name="표준 29" xfId="169"/>
    <cellStyle name="표준 29 2" xfId="274"/>
    <cellStyle name="표준 29 2 2" xfId="1217"/>
    <cellStyle name="표준 29 2 3" xfId="1218"/>
    <cellStyle name="표준 29 2 4" xfId="1219"/>
    <cellStyle name="표준 29 2 5" xfId="1220"/>
    <cellStyle name="표준 29 3" xfId="380"/>
    <cellStyle name="표준 29 4" xfId="486"/>
    <cellStyle name="표준 29 5" xfId="592"/>
    <cellStyle name="표준 29 6" xfId="122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2" xfId="277"/>
    <cellStyle name="표준 32 3" xfId="383"/>
    <cellStyle name="표준 32 4" xfId="489"/>
    <cellStyle name="표준 32 5" xfId="595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2" xfId="253"/>
    <cellStyle name="표준 5 3" xfId="359"/>
    <cellStyle name="표준 5 4" xfId="465"/>
    <cellStyle name="표준 5 5" xfId="571"/>
    <cellStyle name="표준 5 6" xfId="150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1" xfId="1224"/>
    <cellStyle name="표준 6 2" xfId="1225"/>
    <cellStyle name="표준 6 2 2" xfId="1226"/>
    <cellStyle name="표준 6 2 2 2" xfId="1227"/>
    <cellStyle name="표준 6 2 2 3" xfId="1228"/>
    <cellStyle name="표준 6 2 2 4" xfId="1229"/>
    <cellStyle name="표준 6 2 2 5" xfId="1230"/>
    <cellStyle name="표준 6 2 3" xfId="1231"/>
    <cellStyle name="표준 6 2 4" xfId="1232"/>
    <cellStyle name="표준 6 2 5" xfId="1233"/>
    <cellStyle name="표준 6 2 6" xfId="1234"/>
    <cellStyle name="표준 6 3" xfId="1235"/>
    <cellStyle name="표준 6 3 2" xfId="1236"/>
    <cellStyle name="표준 6 3 2 2" xfId="1237"/>
    <cellStyle name="표준 6 3 2 3" xfId="1238"/>
    <cellStyle name="표준 6 3 2 4" xfId="1239"/>
    <cellStyle name="표준 6 3 2 5" xfId="1240"/>
    <cellStyle name="표준 6 3 3" xfId="1241"/>
    <cellStyle name="표준 6 3 4" xfId="1242"/>
    <cellStyle name="표준 6 3 5" xfId="1243"/>
    <cellStyle name="표준 6 3 6" xfId="1244"/>
    <cellStyle name="표준 6 4" xfId="1245"/>
    <cellStyle name="표준 6 4 2" xfId="1246"/>
    <cellStyle name="표준 6 4 2 2" xfId="1247"/>
    <cellStyle name="표준 6 4 2 3" xfId="1248"/>
    <cellStyle name="표준 6 4 2 4" xfId="1249"/>
    <cellStyle name="표준 6 4 2 5" xfId="1250"/>
    <cellStyle name="표준 6 4 3" xfId="1251"/>
    <cellStyle name="표준 6 4 4" xfId="1252"/>
    <cellStyle name="표준 6 4 5" xfId="1253"/>
    <cellStyle name="표준 6 4 6" xfId="1254"/>
    <cellStyle name="표준 6 5" xfId="1255"/>
    <cellStyle name="표준 6 5 2" xfId="1256"/>
    <cellStyle name="표준 6 5 2 2" xfId="1257"/>
    <cellStyle name="표준 6 5 2 3" xfId="1258"/>
    <cellStyle name="표준 6 5 2 4" xfId="1259"/>
    <cellStyle name="표준 6 5 2 5" xfId="1260"/>
    <cellStyle name="표준 6 5 3" xfId="1261"/>
    <cellStyle name="표준 6 5 4" xfId="1262"/>
    <cellStyle name="표준 6 5 5" xfId="1263"/>
    <cellStyle name="표준 6 5 6" xfId="1264"/>
    <cellStyle name="표준 6 6" xfId="1265"/>
    <cellStyle name="표준 6 6 2" xfId="1266"/>
    <cellStyle name="표준 6 6 2 2" xfId="1267"/>
    <cellStyle name="표준 6 6 2 3" xfId="1268"/>
    <cellStyle name="표준 6 6 2 4" xfId="1269"/>
    <cellStyle name="표준 6 6 2 5" xfId="1270"/>
    <cellStyle name="표준 6 6 3" xfId="1271"/>
    <cellStyle name="표준 6 6 4" xfId="1272"/>
    <cellStyle name="표준 6 6 5" xfId="1273"/>
    <cellStyle name="표준 6 6 6" xfId="1274"/>
    <cellStyle name="표준 6 7" xfId="1275"/>
    <cellStyle name="표준 6 7 2" xfId="1276"/>
    <cellStyle name="표준 6 7 2 2" xfId="1277"/>
    <cellStyle name="표준 6 7 2 3" xfId="1278"/>
    <cellStyle name="표준 6 7 2 4" xfId="1279"/>
    <cellStyle name="표준 6 7 2 5" xfId="1280"/>
    <cellStyle name="표준 6 7 3" xfId="1281"/>
    <cellStyle name="표준 6 7 4" xfId="1282"/>
    <cellStyle name="표준 6 7 5" xfId="1283"/>
    <cellStyle name="표준 6 7 6" xfId="1284"/>
    <cellStyle name="표준 6 8" xfId="1285"/>
    <cellStyle name="표준 6 9" xfId="128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3" xfId="1288"/>
    <cellStyle name="표준 7 3 4" xfId="1289"/>
    <cellStyle name="표준 7 3 5" xfId="1290"/>
    <cellStyle name="표준 7 4" xfId="466"/>
    <cellStyle name="표준 7 5" xfId="572"/>
    <cellStyle name="표준 7 6" xfId="1291"/>
    <cellStyle name="표준 7 7" xfId="129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1" xfId="1294"/>
    <cellStyle name="표준 8 12" xfId="1295"/>
    <cellStyle name="표준 8 2" xfId="255"/>
    <cellStyle name="표준 8 2 2" xfId="1296"/>
    <cellStyle name="표준 8 2 2 2" xfId="1297"/>
    <cellStyle name="표준 8 2 2 3" xfId="1298"/>
    <cellStyle name="표준 8 2 2 4" xfId="1299"/>
    <cellStyle name="표준 8 2 2 5" xfId="1300"/>
    <cellStyle name="표준 8 2 3" xfId="1301"/>
    <cellStyle name="표준 8 2 4" xfId="1302"/>
    <cellStyle name="표준 8 2 5" xfId="1303"/>
    <cellStyle name="표준 8 2 6" xfId="1304"/>
    <cellStyle name="표준 8 3" xfId="361"/>
    <cellStyle name="표준 8 3 2" xfId="1305"/>
    <cellStyle name="표준 8 3 2 2" xfId="1306"/>
    <cellStyle name="표준 8 3 2 3" xfId="1307"/>
    <cellStyle name="표준 8 3 2 4" xfId="1308"/>
    <cellStyle name="표준 8 3 2 5" xfId="1309"/>
    <cellStyle name="표준 8 3 3" xfId="1310"/>
    <cellStyle name="표준 8 3 4" xfId="1311"/>
    <cellStyle name="표준 8 3 5" xfId="1312"/>
    <cellStyle name="표준 8 3 6" xfId="1313"/>
    <cellStyle name="표준 8 4" xfId="467"/>
    <cellStyle name="표준 8 4 2" xfId="1314"/>
    <cellStyle name="표준 8 4 2 2" xfId="1315"/>
    <cellStyle name="표준 8 4 2 3" xfId="1316"/>
    <cellStyle name="표준 8 4 2 4" xfId="1317"/>
    <cellStyle name="표준 8 4 2 5" xfId="1318"/>
    <cellStyle name="표준 8 4 3" xfId="1319"/>
    <cellStyle name="표준 8 4 4" xfId="1320"/>
    <cellStyle name="표준 8 4 5" xfId="1321"/>
    <cellStyle name="표준 8 4 6" xfId="1322"/>
    <cellStyle name="표준 8 5" xfId="573"/>
    <cellStyle name="표준 8 5 2" xfId="1323"/>
    <cellStyle name="표준 8 5 2 2" xfId="1324"/>
    <cellStyle name="표준 8 5 2 3" xfId="1325"/>
    <cellStyle name="표준 8 5 2 4" xfId="1326"/>
    <cellStyle name="표준 8 5 2 5" xfId="1327"/>
    <cellStyle name="표준 8 5 3" xfId="1328"/>
    <cellStyle name="표준 8 5 4" xfId="1329"/>
    <cellStyle name="표준 8 5 5" xfId="1330"/>
    <cellStyle name="표준 8 5 6" xfId="1331"/>
    <cellStyle name="표준 8 6" xfId="1332"/>
    <cellStyle name="표준 8 6 2" xfId="1333"/>
    <cellStyle name="표준 8 6 2 2" xfId="1334"/>
    <cellStyle name="표준 8 6 2 3" xfId="1335"/>
    <cellStyle name="표준 8 6 2 4" xfId="1336"/>
    <cellStyle name="표준 8 6 2 5" xfId="1337"/>
    <cellStyle name="표준 8 6 3" xfId="1338"/>
    <cellStyle name="표준 8 6 4" xfId="1339"/>
    <cellStyle name="표준 8 6 5" xfId="1340"/>
    <cellStyle name="표준 8 6 6" xfId="1341"/>
    <cellStyle name="표준 8 7" xfId="1342"/>
    <cellStyle name="표준 8 7 2" xfId="1343"/>
    <cellStyle name="표준 8 7 2 2" xfId="1344"/>
    <cellStyle name="표준 8 7 2 3" xfId="1345"/>
    <cellStyle name="표준 8 7 2 4" xfId="1346"/>
    <cellStyle name="표준 8 7 2 5" xfId="1347"/>
    <cellStyle name="표준 8 7 3" xfId="1348"/>
    <cellStyle name="표준 8 7 4" xfId="1349"/>
    <cellStyle name="표준 8 7 5" xfId="1350"/>
    <cellStyle name="표준 8 7 6" xfId="1351"/>
    <cellStyle name="표준 8 8" xfId="1352"/>
    <cellStyle name="표준 8 8 2" xfId="1353"/>
    <cellStyle name="표준 8 8 3" xfId="1354"/>
    <cellStyle name="표준 8 8 4" xfId="1355"/>
    <cellStyle name="표준 8 8 5" xfId="1356"/>
    <cellStyle name="표준 8 9" xfId="135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1" xfId="1359"/>
    <cellStyle name="표준 9 12" xfId="1360"/>
    <cellStyle name="표준 9 2" xfId="256"/>
    <cellStyle name="표준 9 2 2" xfId="1361"/>
    <cellStyle name="표준 9 2 2 2" xfId="1362"/>
    <cellStyle name="표준 9 2 2 3" xfId="1363"/>
    <cellStyle name="표준 9 2 2 4" xfId="1364"/>
    <cellStyle name="표준 9 2 2 5" xfId="1365"/>
    <cellStyle name="표준 9 2 3" xfId="1366"/>
    <cellStyle name="표준 9 2 4" xfId="1367"/>
    <cellStyle name="표준 9 2 5" xfId="1368"/>
    <cellStyle name="표준 9 2 6" xfId="1369"/>
    <cellStyle name="표준 9 3" xfId="362"/>
    <cellStyle name="표준 9 3 2" xfId="1370"/>
    <cellStyle name="표준 9 3 2 2" xfId="1371"/>
    <cellStyle name="표준 9 3 2 3" xfId="1372"/>
    <cellStyle name="표준 9 3 2 4" xfId="1373"/>
    <cellStyle name="표준 9 3 2 5" xfId="1374"/>
    <cellStyle name="표준 9 3 3" xfId="1375"/>
    <cellStyle name="표준 9 3 4" xfId="1376"/>
    <cellStyle name="표준 9 3 5" xfId="1377"/>
    <cellStyle name="표준 9 3 6" xfId="1378"/>
    <cellStyle name="표준 9 4" xfId="468"/>
    <cellStyle name="표준 9 4 2" xfId="1379"/>
    <cellStyle name="표준 9 4 2 2" xfId="1380"/>
    <cellStyle name="표준 9 4 2 3" xfId="1381"/>
    <cellStyle name="표준 9 4 2 4" xfId="1382"/>
    <cellStyle name="표준 9 4 2 5" xfId="1383"/>
    <cellStyle name="표준 9 4 3" xfId="1384"/>
    <cellStyle name="표준 9 4 4" xfId="1385"/>
    <cellStyle name="표준 9 4 5" xfId="1386"/>
    <cellStyle name="표준 9 4 6" xfId="1387"/>
    <cellStyle name="표준 9 5" xfId="574"/>
    <cellStyle name="표준 9 5 2" xfId="1388"/>
    <cellStyle name="표준 9 5 2 2" xfId="1389"/>
    <cellStyle name="표준 9 5 2 3" xfId="1390"/>
    <cellStyle name="표준 9 5 2 4" xfId="1391"/>
    <cellStyle name="표준 9 5 2 5" xfId="1392"/>
    <cellStyle name="표준 9 5 3" xfId="1393"/>
    <cellStyle name="표준 9 5 4" xfId="1394"/>
    <cellStyle name="표준 9 5 5" xfId="1395"/>
    <cellStyle name="표준 9 5 6" xfId="1396"/>
    <cellStyle name="표준 9 6" xfId="1397"/>
    <cellStyle name="표준 9 6 2" xfId="1398"/>
    <cellStyle name="표준 9 6 2 2" xfId="1399"/>
    <cellStyle name="표준 9 6 2 3" xfId="1400"/>
    <cellStyle name="표준 9 6 2 4" xfId="1401"/>
    <cellStyle name="표준 9 6 2 5" xfId="1402"/>
    <cellStyle name="표준 9 6 3" xfId="1403"/>
    <cellStyle name="표준 9 6 4" xfId="1404"/>
    <cellStyle name="표준 9 6 5" xfId="1405"/>
    <cellStyle name="표준 9 6 6" xfId="1406"/>
    <cellStyle name="표준 9 7" xfId="1407"/>
    <cellStyle name="표준 9 7 2" xfId="1408"/>
    <cellStyle name="표준 9 7 2 2" xfId="1409"/>
    <cellStyle name="표준 9 7 2 3" xfId="1410"/>
    <cellStyle name="표준 9 7 2 4" xfId="1411"/>
    <cellStyle name="표준 9 7 2 5" xfId="1412"/>
    <cellStyle name="표준 9 7 3" xfId="1413"/>
    <cellStyle name="표준 9 7 4" xfId="1414"/>
    <cellStyle name="표준 9 7 5" xfId="1415"/>
    <cellStyle name="표준 9 7 6" xfId="1416"/>
    <cellStyle name="표준 9 8" xfId="1417"/>
    <cellStyle name="표준 9 8 2" xfId="1418"/>
    <cellStyle name="표준 9 8 3" xfId="1419"/>
    <cellStyle name="표준 9 8 4" xfId="1420"/>
    <cellStyle name="표준 9 8 5" xfId="1421"/>
    <cellStyle name="표준 9 9" xfId="142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topLeftCell="A10" zoomScaleNormal="100" workbookViewId="0">
      <selection activeCell="K17" sqref="K17"/>
    </sheetView>
  </sheetViews>
  <sheetFormatPr defaultRowHeight="17.399999999999999"/>
  <cols>
    <col min="1" max="3" width="9.375" style="48"/>
    <col min="4" max="5" width="18.875" style="48" customWidth="1"/>
    <col min="6" max="6" width="24.875" style="48" bestFit="1" customWidth="1"/>
    <col min="7" max="7" width="25.125" style="48" customWidth="1"/>
    <col min="8" max="259" width="9.375" style="48"/>
    <col min="260" max="261" width="18.875" style="48" customWidth="1"/>
    <col min="262" max="262" width="24.875" style="48" bestFit="1" customWidth="1"/>
    <col min="263" max="263" width="25.125" style="48" customWidth="1"/>
    <col min="264" max="515" width="9.375" style="48"/>
    <col min="516" max="517" width="18.875" style="48" customWidth="1"/>
    <col min="518" max="518" width="24.875" style="48" bestFit="1" customWidth="1"/>
    <col min="519" max="519" width="25.125" style="48" customWidth="1"/>
    <col min="520" max="771" width="9.375" style="48"/>
    <col min="772" max="773" width="18.875" style="48" customWidth="1"/>
    <col min="774" max="774" width="24.875" style="48" bestFit="1" customWidth="1"/>
    <col min="775" max="775" width="25.125" style="48" customWidth="1"/>
    <col min="776" max="1027" width="9.375" style="48"/>
    <col min="1028" max="1029" width="18.875" style="48" customWidth="1"/>
    <col min="1030" max="1030" width="24.875" style="48" bestFit="1" customWidth="1"/>
    <col min="1031" max="1031" width="25.125" style="48" customWidth="1"/>
    <col min="1032" max="1283" width="9.375" style="48"/>
    <col min="1284" max="1285" width="18.875" style="48" customWidth="1"/>
    <col min="1286" max="1286" width="24.875" style="48" bestFit="1" customWidth="1"/>
    <col min="1287" max="1287" width="25.125" style="48" customWidth="1"/>
    <col min="1288" max="1539" width="9.375" style="48"/>
    <col min="1540" max="1541" width="18.875" style="48" customWidth="1"/>
    <col min="1542" max="1542" width="24.875" style="48" bestFit="1" customWidth="1"/>
    <col min="1543" max="1543" width="25.125" style="48" customWidth="1"/>
    <col min="1544" max="1795" width="9.375" style="48"/>
    <col min="1796" max="1797" width="18.875" style="48" customWidth="1"/>
    <col min="1798" max="1798" width="24.875" style="48" bestFit="1" customWidth="1"/>
    <col min="1799" max="1799" width="25.125" style="48" customWidth="1"/>
    <col min="1800" max="2051" width="9.375" style="48"/>
    <col min="2052" max="2053" width="18.875" style="48" customWidth="1"/>
    <col min="2054" max="2054" width="24.875" style="48" bestFit="1" customWidth="1"/>
    <col min="2055" max="2055" width="25.125" style="48" customWidth="1"/>
    <col min="2056" max="2307" width="9.375" style="48"/>
    <col min="2308" max="2309" width="18.875" style="48" customWidth="1"/>
    <col min="2310" max="2310" width="24.875" style="48" bestFit="1" customWidth="1"/>
    <col min="2311" max="2311" width="25.125" style="48" customWidth="1"/>
    <col min="2312" max="2563" width="9.375" style="48"/>
    <col min="2564" max="2565" width="18.875" style="48" customWidth="1"/>
    <col min="2566" max="2566" width="24.875" style="48" bestFit="1" customWidth="1"/>
    <col min="2567" max="2567" width="25.125" style="48" customWidth="1"/>
    <col min="2568" max="2819" width="9.375" style="48"/>
    <col min="2820" max="2821" width="18.875" style="48" customWidth="1"/>
    <col min="2822" max="2822" width="24.875" style="48" bestFit="1" customWidth="1"/>
    <col min="2823" max="2823" width="25.125" style="48" customWidth="1"/>
    <col min="2824" max="3075" width="9.375" style="48"/>
    <col min="3076" max="3077" width="18.875" style="48" customWidth="1"/>
    <col min="3078" max="3078" width="24.875" style="48" bestFit="1" customWidth="1"/>
    <col min="3079" max="3079" width="25.125" style="48" customWidth="1"/>
    <col min="3080" max="3331" width="9.375" style="48"/>
    <col min="3332" max="3333" width="18.875" style="48" customWidth="1"/>
    <col min="3334" max="3334" width="24.875" style="48" bestFit="1" customWidth="1"/>
    <col min="3335" max="3335" width="25.125" style="48" customWidth="1"/>
    <col min="3336" max="3587" width="9.375" style="48"/>
    <col min="3588" max="3589" width="18.875" style="48" customWidth="1"/>
    <col min="3590" max="3590" width="24.875" style="48" bestFit="1" customWidth="1"/>
    <col min="3591" max="3591" width="25.125" style="48" customWidth="1"/>
    <col min="3592" max="3843" width="9.375" style="48"/>
    <col min="3844" max="3845" width="18.875" style="48" customWidth="1"/>
    <col min="3846" max="3846" width="24.875" style="48" bestFit="1" customWidth="1"/>
    <col min="3847" max="3847" width="25.125" style="48" customWidth="1"/>
    <col min="3848" max="4099" width="9.375" style="48"/>
    <col min="4100" max="4101" width="18.875" style="48" customWidth="1"/>
    <col min="4102" max="4102" width="24.875" style="48" bestFit="1" customWidth="1"/>
    <col min="4103" max="4103" width="25.125" style="48" customWidth="1"/>
    <col min="4104" max="4355" width="9.375" style="48"/>
    <col min="4356" max="4357" width="18.875" style="48" customWidth="1"/>
    <col min="4358" max="4358" width="24.875" style="48" bestFit="1" customWidth="1"/>
    <col min="4359" max="4359" width="25.125" style="48" customWidth="1"/>
    <col min="4360" max="4611" width="9.375" style="48"/>
    <col min="4612" max="4613" width="18.875" style="48" customWidth="1"/>
    <col min="4614" max="4614" width="24.875" style="48" bestFit="1" customWidth="1"/>
    <col min="4615" max="4615" width="25.125" style="48" customWidth="1"/>
    <col min="4616" max="4867" width="9.375" style="48"/>
    <col min="4868" max="4869" width="18.875" style="48" customWidth="1"/>
    <col min="4870" max="4870" width="24.875" style="48" bestFit="1" customWidth="1"/>
    <col min="4871" max="4871" width="25.125" style="48" customWidth="1"/>
    <col min="4872" max="5123" width="9.375" style="48"/>
    <col min="5124" max="5125" width="18.875" style="48" customWidth="1"/>
    <col min="5126" max="5126" width="24.875" style="48" bestFit="1" customWidth="1"/>
    <col min="5127" max="5127" width="25.125" style="48" customWidth="1"/>
    <col min="5128" max="5379" width="9.375" style="48"/>
    <col min="5380" max="5381" width="18.875" style="48" customWidth="1"/>
    <col min="5382" max="5382" width="24.875" style="48" bestFit="1" customWidth="1"/>
    <col min="5383" max="5383" width="25.125" style="48" customWidth="1"/>
    <col min="5384" max="5635" width="9.375" style="48"/>
    <col min="5636" max="5637" width="18.875" style="48" customWidth="1"/>
    <col min="5638" max="5638" width="24.875" style="48" bestFit="1" customWidth="1"/>
    <col min="5639" max="5639" width="25.125" style="48" customWidth="1"/>
    <col min="5640" max="5891" width="9.375" style="48"/>
    <col min="5892" max="5893" width="18.875" style="48" customWidth="1"/>
    <col min="5894" max="5894" width="24.875" style="48" bestFit="1" customWidth="1"/>
    <col min="5895" max="5895" width="25.125" style="48" customWidth="1"/>
    <col min="5896" max="6147" width="9.375" style="48"/>
    <col min="6148" max="6149" width="18.875" style="48" customWidth="1"/>
    <col min="6150" max="6150" width="24.875" style="48" bestFit="1" customWidth="1"/>
    <col min="6151" max="6151" width="25.125" style="48" customWidth="1"/>
    <col min="6152" max="6403" width="9.375" style="48"/>
    <col min="6404" max="6405" width="18.875" style="48" customWidth="1"/>
    <col min="6406" max="6406" width="24.875" style="48" bestFit="1" customWidth="1"/>
    <col min="6407" max="6407" width="25.125" style="48" customWidth="1"/>
    <col min="6408" max="6659" width="9.375" style="48"/>
    <col min="6660" max="6661" width="18.875" style="48" customWidth="1"/>
    <col min="6662" max="6662" width="24.875" style="48" bestFit="1" customWidth="1"/>
    <col min="6663" max="6663" width="25.125" style="48" customWidth="1"/>
    <col min="6664" max="6915" width="9.375" style="48"/>
    <col min="6916" max="6917" width="18.875" style="48" customWidth="1"/>
    <col min="6918" max="6918" width="24.875" style="48" bestFit="1" customWidth="1"/>
    <col min="6919" max="6919" width="25.125" style="48" customWidth="1"/>
    <col min="6920" max="7171" width="9.375" style="48"/>
    <col min="7172" max="7173" width="18.875" style="48" customWidth="1"/>
    <col min="7174" max="7174" width="24.875" style="48" bestFit="1" customWidth="1"/>
    <col min="7175" max="7175" width="25.125" style="48" customWidth="1"/>
    <col min="7176" max="7427" width="9.375" style="48"/>
    <col min="7428" max="7429" width="18.875" style="48" customWidth="1"/>
    <col min="7430" max="7430" width="24.875" style="48" bestFit="1" customWidth="1"/>
    <col min="7431" max="7431" width="25.125" style="48" customWidth="1"/>
    <col min="7432" max="7683" width="9.375" style="48"/>
    <col min="7684" max="7685" width="18.875" style="48" customWidth="1"/>
    <col min="7686" max="7686" width="24.875" style="48" bestFit="1" customWidth="1"/>
    <col min="7687" max="7687" width="25.125" style="48" customWidth="1"/>
    <col min="7688" max="7939" width="9.375" style="48"/>
    <col min="7940" max="7941" width="18.875" style="48" customWidth="1"/>
    <col min="7942" max="7942" width="24.875" style="48" bestFit="1" customWidth="1"/>
    <col min="7943" max="7943" width="25.125" style="48" customWidth="1"/>
    <col min="7944" max="8195" width="9.375" style="48"/>
    <col min="8196" max="8197" width="18.875" style="48" customWidth="1"/>
    <col min="8198" max="8198" width="24.875" style="48" bestFit="1" customWidth="1"/>
    <col min="8199" max="8199" width="25.125" style="48" customWidth="1"/>
    <col min="8200" max="8451" width="9.375" style="48"/>
    <col min="8452" max="8453" width="18.875" style="48" customWidth="1"/>
    <col min="8454" max="8454" width="24.875" style="48" bestFit="1" customWidth="1"/>
    <col min="8455" max="8455" width="25.125" style="48" customWidth="1"/>
    <col min="8456" max="8707" width="9.375" style="48"/>
    <col min="8708" max="8709" width="18.875" style="48" customWidth="1"/>
    <col min="8710" max="8710" width="24.875" style="48" bestFit="1" customWidth="1"/>
    <col min="8711" max="8711" width="25.125" style="48" customWidth="1"/>
    <col min="8712" max="8963" width="9.375" style="48"/>
    <col min="8964" max="8965" width="18.875" style="48" customWidth="1"/>
    <col min="8966" max="8966" width="24.875" style="48" bestFit="1" customWidth="1"/>
    <col min="8967" max="8967" width="25.125" style="48" customWidth="1"/>
    <col min="8968" max="9219" width="9.375" style="48"/>
    <col min="9220" max="9221" width="18.875" style="48" customWidth="1"/>
    <col min="9222" max="9222" width="24.875" style="48" bestFit="1" customWidth="1"/>
    <col min="9223" max="9223" width="25.125" style="48" customWidth="1"/>
    <col min="9224" max="9475" width="9.375" style="48"/>
    <col min="9476" max="9477" width="18.875" style="48" customWidth="1"/>
    <col min="9478" max="9478" width="24.875" style="48" bestFit="1" customWidth="1"/>
    <col min="9479" max="9479" width="25.125" style="48" customWidth="1"/>
    <col min="9480" max="9731" width="9.375" style="48"/>
    <col min="9732" max="9733" width="18.875" style="48" customWidth="1"/>
    <col min="9734" max="9734" width="24.875" style="48" bestFit="1" customWidth="1"/>
    <col min="9735" max="9735" width="25.125" style="48" customWidth="1"/>
    <col min="9736" max="9987" width="9.375" style="48"/>
    <col min="9988" max="9989" width="18.875" style="48" customWidth="1"/>
    <col min="9990" max="9990" width="24.875" style="48" bestFit="1" customWidth="1"/>
    <col min="9991" max="9991" width="25.125" style="48" customWidth="1"/>
    <col min="9992" max="10243" width="9.375" style="48"/>
    <col min="10244" max="10245" width="18.875" style="48" customWidth="1"/>
    <col min="10246" max="10246" width="24.875" style="48" bestFit="1" customWidth="1"/>
    <col min="10247" max="10247" width="25.125" style="48" customWidth="1"/>
    <col min="10248" max="10499" width="9.375" style="48"/>
    <col min="10500" max="10501" width="18.875" style="48" customWidth="1"/>
    <col min="10502" max="10502" width="24.875" style="48" bestFit="1" customWidth="1"/>
    <col min="10503" max="10503" width="25.125" style="48" customWidth="1"/>
    <col min="10504" max="10755" width="9.375" style="48"/>
    <col min="10756" max="10757" width="18.875" style="48" customWidth="1"/>
    <col min="10758" max="10758" width="24.875" style="48" bestFit="1" customWidth="1"/>
    <col min="10759" max="10759" width="25.125" style="48" customWidth="1"/>
    <col min="10760" max="11011" width="9.375" style="48"/>
    <col min="11012" max="11013" width="18.875" style="48" customWidth="1"/>
    <col min="11014" max="11014" width="24.875" style="48" bestFit="1" customWidth="1"/>
    <col min="11015" max="11015" width="25.125" style="48" customWidth="1"/>
    <col min="11016" max="11267" width="9.375" style="48"/>
    <col min="11268" max="11269" width="18.875" style="48" customWidth="1"/>
    <col min="11270" max="11270" width="24.875" style="48" bestFit="1" customWidth="1"/>
    <col min="11271" max="11271" width="25.125" style="48" customWidth="1"/>
    <col min="11272" max="11523" width="9.375" style="48"/>
    <col min="11524" max="11525" width="18.875" style="48" customWidth="1"/>
    <col min="11526" max="11526" width="24.875" style="48" bestFit="1" customWidth="1"/>
    <col min="11527" max="11527" width="25.125" style="48" customWidth="1"/>
    <col min="11528" max="11779" width="9.375" style="48"/>
    <col min="11780" max="11781" width="18.875" style="48" customWidth="1"/>
    <col min="11782" max="11782" width="24.875" style="48" bestFit="1" customWidth="1"/>
    <col min="11783" max="11783" width="25.125" style="48" customWidth="1"/>
    <col min="11784" max="12035" width="9.375" style="48"/>
    <col min="12036" max="12037" width="18.875" style="48" customWidth="1"/>
    <col min="12038" max="12038" width="24.875" style="48" bestFit="1" customWidth="1"/>
    <col min="12039" max="12039" width="25.125" style="48" customWidth="1"/>
    <col min="12040" max="12291" width="9.375" style="48"/>
    <col min="12292" max="12293" width="18.875" style="48" customWidth="1"/>
    <col min="12294" max="12294" width="24.875" style="48" bestFit="1" customWidth="1"/>
    <col min="12295" max="12295" width="25.125" style="48" customWidth="1"/>
    <col min="12296" max="12547" width="9.375" style="48"/>
    <col min="12548" max="12549" width="18.875" style="48" customWidth="1"/>
    <col min="12550" max="12550" width="24.875" style="48" bestFit="1" customWidth="1"/>
    <col min="12551" max="12551" width="25.125" style="48" customWidth="1"/>
    <col min="12552" max="12803" width="9.375" style="48"/>
    <col min="12804" max="12805" width="18.875" style="48" customWidth="1"/>
    <col min="12806" max="12806" width="24.875" style="48" bestFit="1" customWidth="1"/>
    <col min="12807" max="12807" width="25.125" style="48" customWidth="1"/>
    <col min="12808" max="13059" width="9.375" style="48"/>
    <col min="13060" max="13061" width="18.875" style="48" customWidth="1"/>
    <col min="13062" max="13062" width="24.875" style="48" bestFit="1" customWidth="1"/>
    <col min="13063" max="13063" width="25.125" style="48" customWidth="1"/>
    <col min="13064" max="13315" width="9.375" style="48"/>
    <col min="13316" max="13317" width="18.875" style="48" customWidth="1"/>
    <col min="13318" max="13318" width="24.875" style="48" bestFit="1" customWidth="1"/>
    <col min="13319" max="13319" width="25.125" style="48" customWidth="1"/>
    <col min="13320" max="13571" width="9.375" style="48"/>
    <col min="13572" max="13573" width="18.875" style="48" customWidth="1"/>
    <col min="13574" max="13574" width="24.875" style="48" bestFit="1" customWidth="1"/>
    <col min="13575" max="13575" width="25.125" style="48" customWidth="1"/>
    <col min="13576" max="13827" width="9.375" style="48"/>
    <col min="13828" max="13829" width="18.875" style="48" customWidth="1"/>
    <col min="13830" max="13830" width="24.875" style="48" bestFit="1" customWidth="1"/>
    <col min="13831" max="13831" width="25.125" style="48" customWidth="1"/>
    <col min="13832" max="14083" width="9.375" style="48"/>
    <col min="14084" max="14085" width="18.875" style="48" customWidth="1"/>
    <col min="14086" max="14086" width="24.875" style="48" bestFit="1" customWidth="1"/>
    <col min="14087" max="14087" width="25.125" style="48" customWidth="1"/>
    <col min="14088" max="14339" width="9.375" style="48"/>
    <col min="14340" max="14341" width="18.875" style="48" customWidth="1"/>
    <col min="14342" max="14342" width="24.875" style="48" bestFit="1" customWidth="1"/>
    <col min="14343" max="14343" width="25.125" style="48" customWidth="1"/>
    <col min="14344" max="14595" width="9.375" style="48"/>
    <col min="14596" max="14597" width="18.875" style="48" customWidth="1"/>
    <col min="14598" max="14598" width="24.875" style="48" bestFit="1" customWidth="1"/>
    <col min="14599" max="14599" width="25.125" style="48" customWidth="1"/>
    <col min="14600" max="14851" width="9.375" style="48"/>
    <col min="14852" max="14853" width="18.875" style="48" customWidth="1"/>
    <col min="14854" max="14854" width="24.875" style="48" bestFit="1" customWidth="1"/>
    <col min="14855" max="14855" width="25.125" style="48" customWidth="1"/>
    <col min="14856" max="15107" width="9.375" style="48"/>
    <col min="15108" max="15109" width="18.875" style="48" customWidth="1"/>
    <col min="15110" max="15110" width="24.875" style="48" bestFit="1" customWidth="1"/>
    <col min="15111" max="15111" width="25.125" style="48" customWidth="1"/>
    <col min="15112" max="15363" width="9.375" style="48"/>
    <col min="15364" max="15365" width="18.875" style="48" customWidth="1"/>
    <col min="15366" max="15366" width="24.875" style="48" bestFit="1" customWidth="1"/>
    <col min="15367" max="15367" width="25.125" style="48" customWidth="1"/>
    <col min="15368" max="15619" width="9.375" style="48"/>
    <col min="15620" max="15621" width="18.875" style="48" customWidth="1"/>
    <col min="15622" max="15622" width="24.875" style="48" bestFit="1" customWidth="1"/>
    <col min="15623" max="15623" width="25.125" style="48" customWidth="1"/>
    <col min="15624" max="15875" width="9.375" style="48"/>
    <col min="15876" max="15877" width="18.875" style="48" customWidth="1"/>
    <col min="15878" max="15878" width="24.875" style="48" bestFit="1" customWidth="1"/>
    <col min="15879" max="15879" width="25.125" style="48" customWidth="1"/>
    <col min="15880" max="16131" width="9.375" style="48"/>
    <col min="16132" max="16133" width="18.875" style="48" customWidth="1"/>
    <col min="16134" max="16134" width="24.875" style="48" bestFit="1" customWidth="1"/>
    <col min="16135" max="16135" width="25.125" style="48" customWidth="1"/>
    <col min="16136" max="16384" width="9.375" style="48"/>
  </cols>
  <sheetData>
    <row r="4" spans="1:8">
      <c r="D4" s="99" t="s">
        <v>657</v>
      </c>
      <c r="E4" s="99"/>
      <c r="F4" s="99"/>
      <c r="G4" s="99"/>
      <c r="H4" s="49"/>
    </row>
    <row r="5" spans="1:8" ht="4.5" customHeight="1" thickBot="1"/>
    <row r="6" spans="1:8" ht="13.5" customHeight="1" thickTop="1">
      <c r="A6" s="100" t="s">
        <v>660</v>
      </c>
      <c r="B6" s="101"/>
      <c r="C6" s="101"/>
      <c r="D6" s="101"/>
      <c r="E6" s="101"/>
      <c r="F6" s="101"/>
      <c r="G6" s="102"/>
    </row>
    <row r="7" spans="1:8" ht="13.5" customHeight="1">
      <c r="A7" s="103"/>
      <c r="B7" s="104"/>
      <c r="C7" s="104"/>
      <c r="D7" s="104"/>
      <c r="E7" s="104"/>
      <c r="F7" s="104"/>
      <c r="G7" s="105"/>
    </row>
    <row r="8" spans="1:8" ht="13.5" customHeight="1">
      <c r="A8" s="103"/>
      <c r="B8" s="104"/>
      <c r="C8" s="104"/>
      <c r="D8" s="104"/>
      <c r="E8" s="104"/>
      <c r="F8" s="104"/>
      <c r="G8" s="105"/>
    </row>
    <row r="9" spans="1:8" ht="13.5" customHeight="1">
      <c r="A9" s="103"/>
      <c r="B9" s="104"/>
      <c r="C9" s="104"/>
      <c r="D9" s="104"/>
      <c r="E9" s="104"/>
      <c r="F9" s="104"/>
      <c r="G9" s="105"/>
    </row>
    <row r="10" spans="1:8" ht="13.5" customHeight="1">
      <c r="A10" s="103"/>
      <c r="B10" s="104"/>
      <c r="C10" s="104"/>
      <c r="D10" s="104"/>
      <c r="E10" s="104"/>
      <c r="F10" s="104"/>
      <c r="G10" s="105"/>
    </row>
    <row r="11" spans="1:8" ht="13.5" customHeight="1" thickBot="1">
      <c r="A11" s="106"/>
      <c r="B11" s="107"/>
      <c r="C11" s="107"/>
      <c r="D11" s="107"/>
      <c r="E11" s="107"/>
      <c r="F11" s="107"/>
      <c r="G11" s="108"/>
    </row>
    <row r="12" spans="1:8" ht="13.5" customHeight="1" thickTop="1">
      <c r="B12" s="50"/>
      <c r="C12" s="50"/>
      <c r="D12" s="50"/>
      <c r="E12" s="50"/>
      <c r="F12" s="50"/>
      <c r="G12" s="50"/>
    </row>
    <row r="13" spans="1:8" ht="18" customHeight="1">
      <c r="B13" s="50"/>
      <c r="C13" s="109" t="s">
        <v>658</v>
      </c>
      <c r="D13" s="109"/>
      <c r="E13" s="109"/>
      <c r="F13" s="109"/>
      <c r="G13" s="109"/>
    </row>
    <row r="14" spans="1:8" ht="13.5" customHeight="1">
      <c r="D14" s="50"/>
      <c r="E14" s="50"/>
      <c r="F14" s="50"/>
      <c r="G14" s="50"/>
    </row>
    <row r="15" spans="1:8" ht="13.5" customHeight="1">
      <c r="D15" s="50"/>
      <c r="E15" s="50"/>
      <c r="F15" s="50"/>
      <c r="G15" s="50"/>
    </row>
    <row r="16" spans="1:8" ht="13.5" customHeight="1">
      <c r="D16" s="50"/>
      <c r="E16" s="50"/>
      <c r="F16" s="50"/>
      <c r="G16" s="50"/>
    </row>
    <row r="17" spans="4:11" ht="13.5" customHeight="1">
      <c r="D17" s="50"/>
      <c r="E17" s="50"/>
      <c r="F17" s="50"/>
      <c r="G17" s="50"/>
    </row>
    <row r="18" spans="4:11" ht="13.5" customHeight="1">
      <c r="E18" s="51"/>
      <c r="F18" s="52"/>
      <c r="G18" s="52"/>
    </row>
    <row r="19" spans="4:11" ht="67.5" customHeight="1">
      <c r="E19" s="53" t="s">
        <v>246</v>
      </c>
      <c r="F19" s="54"/>
      <c r="G19" s="54"/>
    </row>
    <row r="20" spans="4:11" ht="13.5" customHeight="1">
      <c r="D20" s="50"/>
      <c r="E20" s="50"/>
      <c r="F20" s="50"/>
      <c r="G20" s="50"/>
    </row>
    <row r="21" spans="4:11" ht="13.5" customHeight="1"/>
    <row r="22" spans="4:11" ht="13.5" customHeight="1"/>
    <row r="29" spans="4:11">
      <c r="K29" s="55"/>
    </row>
  </sheetData>
  <mergeCells count="3">
    <mergeCell ref="D4:G4"/>
    <mergeCell ref="A6:G11"/>
    <mergeCell ref="C13:G13"/>
  </mergeCells>
  <phoneticPr fontId="6" type="noConversion"/>
  <pageMargins left="0.70866141732283472" right="0.70866141732283472" top="0.74803149606299213" bottom="0.74803149606299213" header="0.31496062992125984" footer="0.31496062992125984"/>
  <pageSetup paperSize="9" scale="8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1"/>
  <sheetViews>
    <sheetView view="pageBreakPreview" zoomScaleNormal="100" zoomScaleSheetLayoutView="100" workbookViewId="0">
      <selection activeCell="D4" sqref="D4"/>
    </sheetView>
  </sheetViews>
  <sheetFormatPr defaultRowHeight="10.8"/>
  <cols>
    <col min="1" max="1" width="2.625" style="79" customWidth="1"/>
    <col min="2" max="2" width="11.5" style="79" customWidth="1"/>
    <col min="3" max="3" width="94" style="79" customWidth="1"/>
    <col min="4" max="4" width="14.875" style="79" customWidth="1"/>
    <col min="5" max="257" width="9.375" style="79"/>
    <col min="258" max="258" width="11.5" style="79" customWidth="1"/>
    <col min="259" max="259" width="94" style="79" customWidth="1"/>
    <col min="260" max="260" width="14.875" style="79" customWidth="1"/>
    <col min="261" max="513" width="9.375" style="79"/>
    <col min="514" max="514" width="11.5" style="79" customWidth="1"/>
    <col min="515" max="515" width="94" style="79" customWidth="1"/>
    <col min="516" max="516" width="14.875" style="79" customWidth="1"/>
    <col min="517" max="769" width="9.375" style="79"/>
    <col min="770" max="770" width="11.5" style="79" customWidth="1"/>
    <col min="771" max="771" width="94" style="79" customWidth="1"/>
    <col min="772" max="772" width="14.875" style="79" customWidth="1"/>
    <col min="773" max="1025" width="9.375" style="79"/>
    <col min="1026" max="1026" width="11.5" style="79" customWidth="1"/>
    <col min="1027" max="1027" width="94" style="79" customWidth="1"/>
    <col min="1028" max="1028" width="14.875" style="79" customWidth="1"/>
    <col min="1029" max="1281" width="9.375" style="79"/>
    <col min="1282" max="1282" width="11.5" style="79" customWidth="1"/>
    <col min="1283" max="1283" width="94" style="79" customWidth="1"/>
    <col min="1284" max="1284" width="14.875" style="79" customWidth="1"/>
    <col min="1285" max="1537" width="9.375" style="79"/>
    <col min="1538" max="1538" width="11.5" style="79" customWidth="1"/>
    <col min="1539" max="1539" width="94" style="79" customWidth="1"/>
    <col min="1540" max="1540" width="14.875" style="79" customWidth="1"/>
    <col min="1541" max="1793" width="9.375" style="79"/>
    <col min="1794" max="1794" width="11.5" style="79" customWidth="1"/>
    <col min="1795" max="1795" width="94" style="79" customWidth="1"/>
    <col min="1796" max="1796" width="14.875" style="79" customWidth="1"/>
    <col min="1797" max="2049" width="9.375" style="79"/>
    <col min="2050" max="2050" width="11.5" style="79" customWidth="1"/>
    <col min="2051" max="2051" width="94" style="79" customWidth="1"/>
    <col min="2052" max="2052" width="14.875" style="79" customWidth="1"/>
    <col min="2053" max="2305" width="9.375" style="79"/>
    <col min="2306" max="2306" width="11.5" style="79" customWidth="1"/>
    <col min="2307" max="2307" width="94" style="79" customWidth="1"/>
    <col min="2308" max="2308" width="14.875" style="79" customWidth="1"/>
    <col min="2309" max="2561" width="9.375" style="79"/>
    <col min="2562" max="2562" width="11.5" style="79" customWidth="1"/>
    <col min="2563" max="2563" width="94" style="79" customWidth="1"/>
    <col min="2564" max="2564" width="14.875" style="79" customWidth="1"/>
    <col min="2565" max="2817" width="9.375" style="79"/>
    <col min="2818" max="2818" width="11.5" style="79" customWidth="1"/>
    <col min="2819" max="2819" width="94" style="79" customWidth="1"/>
    <col min="2820" max="2820" width="14.875" style="79" customWidth="1"/>
    <col min="2821" max="3073" width="9.375" style="79"/>
    <col min="3074" max="3074" width="11.5" style="79" customWidth="1"/>
    <col min="3075" max="3075" width="94" style="79" customWidth="1"/>
    <col min="3076" max="3076" width="14.875" style="79" customWidth="1"/>
    <col min="3077" max="3329" width="9.375" style="79"/>
    <col min="3330" max="3330" width="11.5" style="79" customWidth="1"/>
    <col min="3331" max="3331" width="94" style="79" customWidth="1"/>
    <col min="3332" max="3332" width="14.875" style="79" customWidth="1"/>
    <col min="3333" max="3585" width="9.375" style="79"/>
    <col min="3586" max="3586" width="11.5" style="79" customWidth="1"/>
    <col min="3587" max="3587" width="94" style="79" customWidth="1"/>
    <col min="3588" max="3588" width="14.875" style="79" customWidth="1"/>
    <col min="3589" max="3841" width="9.375" style="79"/>
    <col min="3842" max="3842" width="11.5" style="79" customWidth="1"/>
    <col min="3843" max="3843" width="94" style="79" customWidth="1"/>
    <col min="3844" max="3844" width="14.875" style="79" customWidth="1"/>
    <col min="3845" max="4097" width="9.375" style="79"/>
    <col min="4098" max="4098" width="11.5" style="79" customWidth="1"/>
    <col min="4099" max="4099" width="94" style="79" customWidth="1"/>
    <col min="4100" max="4100" width="14.875" style="79" customWidth="1"/>
    <col min="4101" max="4353" width="9.375" style="79"/>
    <col min="4354" max="4354" width="11.5" style="79" customWidth="1"/>
    <col min="4355" max="4355" width="94" style="79" customWidth="1"/>
    <col min="4356" max="4356" width="14.875" style="79" customWidth="1"/>
    <col min="4357" max="4609" width="9.375" style="79"/>
    <col min="4610" max="4610" width="11.5" style="79" customWidth="1"/>
    <col min="4611" max="4611" width="94" style="79" customWidth="1"/>
    <col min="4612" max="4612" width="14.875" style="79" customWidth="1"/>
    <col min="4613" max="4865" width="9.375" style="79"/>
    <col min="4866" max="4866" width="11.5" style="79" customWidth="1"/>
    <col min="4867" max="4867" width="94" style="79" customWidth="1"/>
    <col min="4868" max="4868" width="14.875" style="79" customWidth="1"/>
    <col min="4869" max="5121" width="9.375" style="79"/>
    <col min="5122" max="5122" width="11.5" style="79" customWidth="1"/>
    <col min="5123" max="5123" width="94" style="79" customWidth="1"/>
    <col min="5124" max="5124" width="14.875" style="79" customWidth="1"/>
    <col min="5125" max="5377" width="9.375" style="79"/>
    <col min="5378" max="5378" width="11.5" style="79" customWidth="1"/>
    <col min="5379" max="5379" width="94" style="79" customWidth="1"/>
    <col min="5380" max="5380" width="14.875" style="79" customWidth="1"/>
    <col min="5381" max="5633" width="9.375" style="79"/>
    <col min="5634" max="5634" width="11.5" style="79" customWidth="1"/>
    <col min="5635" max="5635" width="94" style="79" customWidth="1"/>
    <col min="5636" max="5636" width="14.875" style="79" customWidth="1"/>
    <col min="5637" max="5889" width="9.375" style="79"/>
    <col min="5890" max="5890" width="11.5" style="79" customWidth="1"/>
    <col min="5891" max="5891" width="94" style="79" customWidth="1"/>
    <col min="5892" max="5892" width="14.875" style="79" customWidth="1"/>
    <col min="5893" max="6145" width="9.375" style="79"/>
    <col min="6146" max="6146" width="11.5" style="79" customWidth="1"/>
    <col min="6147" max="6147" width="94" style="79" customWidth="1"/>
    <col min="6148" max="6148" width="14.875" style="79" customWidth="1"/>
    <col min="6149" max="6401" width="9.375" style="79"/>
    <col min="6402" max="6402" width="11.5" style="79" customWidth="1"/>
    <col min="6403" max="6403" width="94" style="79" customWidth="1"/>
    <col min="6404" max="6404" width="14.875" style="79" customWidth="1"/>
    <col min="6405" max="6657" width="9.375" style="79"/>
    <col min="6658" max="6658" width="11.5" style="79" customWidth="1"/>
    <col min="6659" max="6659" width="94" style="79" customWidth="1"/>
    <col min="6660" max="6660" width="14.875" style="79" customWidth="1"/>
    <col min="6661" max="6913" width="9.375" style="79"/>
    <col min="6914" max="6914" width="11.5" style="79" customWidth="1"/>
    <col min="6915" max="6915" width="94" style="79" customWidth="1"/>
    <col min="6916" max="6916" width="14.875" style="79" customWidth="1"/>
    <col min="6917" max="7169" width="9.375" style="79"/>
    <col min="7170" max="7170" width="11.5" style="79" customWidth="1"/>
    <col min="7171" max="7171" width="94" style="79" customWidth="1"/>
    <col min="7172" max="7172" width="14.875" style="79" customWidth="1"/>
    <col min="7173" max="7425" width="9.375" style="79"/>
    <col min="7426" max="7426" width="11.5" style="79" customWidth="1"/>
    <col min="7427" max="7427" width="94" style="79" customWidth="1"/>
    <col min="7428" max="7428" width="14.875" style="79" customWidth="1"/>
    <col min="7429" max="7681" width="9.375" style="79"/>
    <col min="7682" max="7682" width="11.5" style="79" customWidth="1"/>
    <col min="7683" max="7683" width="94" style="79" customWidth="1"/>
    <col min="7684" max="7684" width="14.875" style="79" customWidth="1"/>
    <col min="7685" max="7937" width="9.375" style="79"/>
    <col min="7938" max="7938" width="11.5" style="79" customWidth="1"/>
    <col min="7939" max="7939" width="94" style="79" customWidth="1"/>
    <col min="7940" max="7940" width="14.875" style="79" customWidth="1"/>
    <col min="7941" max="8193" width="9.375" style="79"/>
    <col min="8194" max="8194" width="11.5" style="79" customWidth="1"/>
    <col min="8195" max="8195" width="94" style="79" customWidth="1"/>
    <col min="8196" max="8196" width="14.875" style="79" customWidth="1"/>
    <col min="8197" max="8449" width="9.375" style="79"/>
    <col min="8450" max="8450" width="11.5" style="79" customWidth="1"/>
    <col min="8451" max="8451" width="94" style="79" customWidth="1"/>
    <col min="8452" max="8452" width="14.875" style="79" customWidth="1"/>
    <col min="8453" max="8705" width="9.375" style="79"/>
    <col min="8706" max="8706" width="11.5" style="79" customWidth="1"/>
    <col min="8707" max="8707" width="94" style="79" customWidth="1"/>
    <col min="8708" max="8708" width="14.875" style="79" customWidth="1"/>
    <col min="8709" max="8961" width="9.375" style="79"/>
    <col min="8962" max="8962" width="11.5" style="79" customWidth="1"/>
    <col min="8963" max="8963" width="94" style="79" customWidth="1"/>
    <col min="8964" max="8964" width="14.875" style="79" customWidth="1"/>
    <col min="8965" max="9217" width="9.375" style="79"/>
    <col min="9218" max="9218" width="11.5" style="79" customWidth="1"/>
    <col min="9219" max="9219" width="94" style="79" customWidth="1"/>
    <col min="9220" max="9220" width="14.875" style="79" customWidth="1"/>
    <col min="9221" max="9473" width="9.375" style="79"/>
    <col min="9474" max="9474" width="11.5" style="79" customWidth="1"/>
    <col min="9475" max="9475" width="94" style="79" customWidth="1"/>
    <col min="9476" max="9476" width="14.875" style="79" customWidth="1"/>
    <col min="9477" max="9729" width="9.375" style="79"/>
    <col min="9730" max="9730" width="11.5" style="79" customWidth="1"/>
    <col min="9731" max="9731" width="94" style="79" customWidth="1"/>
    <col min="9732" max="9732" width="14.875" style="79" customWidth="1"/>
    <col min="9733" max="9985" width="9.375" style="79"/>
    <col min="9986" max="9986" width="11.5" style="79" customWidth="1"/>
    <col min="9987" max="9987" width="94" style="79" customWidth="1"/>
    <col min="9988" max="9988" width="14.875" style="79" customWidth="1"/>
    <col min="9989" max="10241" width="9.375" style="79"/>
    <col min="10242" max="10242" width="11.5" style="79" customWidth="1"/>
    <col min="10243" max="10243" width="94" style="79" customWidth="1"/>
    <col min="10244" max="10244" width="14.875" style="79" customWidth="1"/>
    <col min="10245" max="10497" width="9.375" style="79"/>
    <col min="10498" max="10498" width="11.5" style="79" customWidth="1"/>
    <col min="10499" max="10499" width="94" style="79" customWidth="1"/>
    <col min="10500" max="10500" width="14.875" style="79" customWidth="1"/>
    <col min="10501" max="10753" width="9.375" style="79"/>
    <col min="10754" max="10754" width="11.5" style="79" customWidth="1"/>
    <col min="10755" max="10755" width="94" style="79" customWidth="1"/>
    <col min="10756" max="10756" width="14.875" style="79" customWidth="1"/>
    <col min="10757" max="11009" width="9.375" style="79"/>
    <col min="11010" max="11010" width="11.5" style="79" customWidth="1"/>
    <col min="11011" max="11011" width="94" style="79" customWidth="1"/>
    <col min="11012" max="11012" width="14.875" style="79" customWidth="1"/>
    <col min="11013" max="11265" width="9.375" style="79"/>
    <col min="11266" max="11266" width="11.5" style="79" customWidth="1"/>
    <col min="11267" max="11267" width="94" style="79" customWidth="1"/>
    <col min="11268" max="11268" width="14.875" style="79" customWidth="1"/>
    <col min="11269" max="11521" width="9.375" style="79"/>
    <col min="11522" max="11522" width="11.5" style="79" customWidth="1"/>
    <col min="11523" max="11523" width="94" style="79" customWidth="1"/>
    <col min="11524" max="11524" width="14.875" style="79" customWidth="1"/>
    <col min="11525" max="11777" width="9.375" style="79"/>
    <col min="11778" max="11778" width="11.5" style="79" customWidth="1"/>
    <col min="11779" max="11779" width="94" style="79" customWidth="1"/>
    <col min="11780" max="11780" width="14.875" style="79" customWidth="1"/>
    <col min="11781" max="12033" width="9.375" style="79"/>
    <col min="12034" max="12034" width="11.5" style="79" customWidth="1"/>
    <col min="12035" max="12035" width="94" style="79" customWidth="1"/>
    <col min="12036" max="12036" width="14.875" style="79" customWidth="1"/>
    <col min="12037" max="12289" width="9.375" style="79"/>
    <col min="12290" max="12290" width="11.5" style="79" customWidth="1"/>
    <col min="12291" max="12291" width="94" style="79" customWidth="1"/>
    <col min="12292" max="12292" width="14.875" style="79" customWidth="1"/>
    <col min="12293" max="12545" width="9.375" style="79"/>
    <col min="12546" max="12546" width="11.5" style="79" customWidth="1"/>
    <col min="12547" max="12547" width="94" style="79" customWidth="1"/>
    <col min="12548" max="12548" width="14.875" style="79" customWidth="1"/>
    <col min="12549" max="12801" width="9.375" style="79"/>
    <col min="12802" max="12802" width="11.5" style="79" customWidth="1"/>
    <col min="12803" max="12803" width="94" style="79" customWidth="1"/>
    <col min="12804" max="12804" width="14.875" style="79" customWidth="1"/>
    <col min="12805" max="13057" width="9.375" style="79"/>
    <col min="13058" max="13058" width="11.5" style="79" customWidth="1"/>
    <col min="13059" max="13059" width="94" style="79" customWidth="1"/>
    <col min="13060" max="13060" width="14.875" style="79" customWidth="1"/>
    <col min="13061" max="13313" width="9.375" style="79"/>
    <col min="13314" max="13314" width="11.5" style="79" customWidth="1"/>
    <col min="13315" max="13315" width="94" style="79" customWidth="1"/>
    <col min="13316" max="13316" width="14.875" style="79" customWidth="1"/>
    <col min="13317" max="13569" width="9.375" style="79"/>
    <col min="13570" max="13570" width="11.5" style="79" customWidth="1"/>
    <col min="13571" max="13571" width="94" style="79" customWidth="1"/>
    <col min="13572" max="13572" width="14.875" style="79" customWidth="1"/>
    <col min="13573" max="13825" width="9.375" style="79"/>
    <col min="13826" max="13826" width="11.5" style="79" customWidth="1"/>
    <col min="13827" max="13827" width="94" style="79" customWidth="1"/>
    <col min="13828" max="13828" width="14.875" style="79" customWidth="1"/>
    <col min="13829" max="14081" width="9.375" style="79"/>
    <col min="14082" max="14082" width="11.5" style="79" customWidth="1"/>
    <col min="14083" max="14083" width="94" style="79" customWidth="1"/>
    <col min="14084" max="14084" width="14.875" style="79" customWidth="1"/>
    <col min="14085" max="14337" width="9.375" style="79"/>
    <col min="14338" max="14338" width="11.5" style="79" customWidth="1"/>
    <col min="14339" max="14339" width="94" style="79" customWidth="1"/>
    <col min="14340" max="14340" width="14.875" style="79" customWidth="1"/>
    <col min="14341" max="14593" width="9.375" style="79"/>
    <col min="14594" max="14594" width="11.5" style="79" customWidth="1"/>
    <col min="14595" max="14595" width="94" style="79" customWidth="1"/>
    <col min="14596" max="14596" width="14.875" style="79" customWidth="1"/>
    <col min="14597" max="14849" width="9.375" style="79"/>
    <col min="14850" max="14850" width="11.5" style="79" customWidth="1"/>
    <col min="14851" max="14851" width="94" style="79" customWidth="1"/>
    <col min="14852" max="14852" width="14.875" style="79" customWidth="1"/>
    <col min="14853" max="15105" width="9.375" style="79"/>
    <col min="15106" max="15106" width="11.5" style="79" customWidth="1"/>
    <col min="15107" max="15107" width="94" style="79" customWidth="1"/>
    <col min="15108" max="15108" width="14.875" style="79" customWidth="1"/>
    <col min="15109" max="15361" width="9.375" style="79"/>
    <col min="15362" max="15362" width="11.5" style="79" customWidth="1"/>
    <col min="15363" max="15363" width="94" style="79" customWidth="1"/>
    <col min="15364" max="15364" width="14.875" style="79" customWidth="1"/>
    <col min="15365" max="15617" width="9.375" style="79"/>
    <col min="15618" max="15618" width="11.5" style="79" customWidth="1"/>
    <col min="15619" max="15619" width="94" style="79" customWidth="1"/>
    <col min="15620" max="15620" width="14.875" style="79" customWidth="1"/>
    <col min="15621" max="15873" width="9.375" style="79"/>
    <col min="15874" max="15874" width="11.5" style="79" customWidth="1"/>
    <col min="15875" max="15875" width="94" style="79" customWidth="1"/>
    <col min="15876" max="15876" width="14.875" style="79" customWidth="1"/>
    <col min="15877" max="16129" width="9.375" style="79"/>
    <col min="16130" max="16130" width="11.5" style="79" customWidth="1"/>
    <col min="16131" max="16131" width="94" style="79" customWidth="1"/>
    <col min="16132" max="16132" width="14.875" style="79" customWidth="1"/>
    <col min="16133" max="16384" width="9.375" style="79"/>
  </cols>
  <sheetData>
    <row r="1" spans="2:6" ht="20.399999999999999">
      <c r="B1" s="110" t="s">
        <v>242</v>
      </c>
      <c r="C1" s="110"/>
      <c r="D1" s="110"/>
      <c r="E1" s="110"/>
      <c r="F1" s="110"/>
    </row>
    <row r="2" spans="2:6" ht="14.4">
      <c r="B2" s="80"/>
      <c r="C2" s="81"/>
      <c r="D2" s="82"/>
      <c r="E2" s="82"/>
      <c r="F2" s="82"/>
    </row>
    <row r="3" spans="2:6" ht="14.4">
      <c r="B3" s="83" t="s">
        <v>243</v>
      </c>
      <c r="C3" s="84" t="s">
        <v>249</v>
      </c>
      <c r="D3" s="85" t="s">
        <v>250</v>
      </c>
      <c r="E3" s="85" t="s">
        <v>244</v>
      </c>
      <c r="F3" s="85" t="s">
        <v>245</v>
      </c>
    </row>
    <row r="4" spans="2:6">
      <c r="B4" s="86" t="s">
        <v>251</v>
      </c>
      <c r="C4" s="87" t="s">
        <v>252</v>
      </c>
      <c r="D4" s="88">
        <v>43361</v>
      </c>
      <c r="E4" s="89" t="s">
        <v>253</v>
      </c>
      <c r="F4" s="89"/>
    </row>
    <row r="5" spans="2:6">
      <c r="B5" s="86"/>
      <c r="C5" s="87"/>
      <c r="D5" s="89"/>
      <c r="E5" s="89"/>
      <c r="F5" s="89"/>
    </row>
    <row r="6" spans="2:6">
      <c r="B6" s="86"/>
      <c r="C6" s="87"/>
      <c r="D6" s="89"/>
      <c r="E6" s="89"/>
      <c r="F6" s="89"/>
    </row>
    <row r="7" spans="2:6">
      <c r="B7" s="86"/>
      <c r="C7" s="87"/>
      <c r="D7" s="89"/>
      <c r="E7" s="89"/>
      <c r="F7" s="89"/>
    </row>
    <row r="8" spans="2:6">
      <c r="B8" s="86"/>
      <c r="C8" s="87"/>
      <c r="D8" s="89"/>
      <c r="E8" s="89"/>
      <c r="F8" s="89"/>
    </row>
    <row r="9" spans="2:6">
      <c r="B9" s="86"/>
      <c r="C9" s="87"/>
      <c r="D9" s="89"/>
      <c r="E9" s="89"/>
      <c r="F9" s="89"/>
    </row>
    <row r="10" spans="2:6">
      <c r="B10" s="86"/>
      <c r="C10" s="87"/>
      <c r="D10" s="89"/>
      <c r="E10" s="89"/>
      <c r="F10" s="89"/>
    </row>
    <row r="11" spans="2:6">
      <c r="B11" s="86"/>
      <c r="C11" s="87"/>
      <c r="D11" s="89"/>
      <c r="E11" s="89"/>
      <c r="F11" s="89"/>
    </row>
    <row r="12" spans="2:6">
      <c r="B12" s="86"/>
      <c r="C12" s="87"/>
      <c r="D12" s="89"/>
      <c r="E12" s="89"/>
      <c r="F12" s="89"/>
    </row>
    <row r="13" spans="2:6">
      <c r="B13" s="86"/>
      <c r="C13" s="87"/>
      <c r="D13" s="89"/>
      <c r="E13" s="89"/>
      <c r="F13" s="89"/>
    </row>
    <row r="14" spans="2:6">
      <c r="B14" s="86"/>
      <c r="C14" s="87"/>
      <c r="D14" s="89"/>
      <c r="E14" s="89"/>
      <c r="F14" s="89"/>
    </row>
    <row r="15" spans="2:6">
      <c r="B15" s="86"/>
      <c r="C15" s="87"/>
      <c r="D15" s="89"/>
      <c r="E15" s="89"/>
      <c r="F15" s="89"/>
    </row>
    <row r="16" spans="2:6">
      <c r="B16" s="86"/>
      <c r="C16" s="87"/>
      <c r="D16" s="89"/>
      <c r="E16" s="89"/>
      <c r="F16" s="89"/>
    </row>
    <row r="17" spans="2:6">
      <c r="B17" s="86"/>
      <c r="C17" s="87"/>
      <c r="D17" s="89"/>
      <c r="E17" s="89"/>
      <c r="F17" s="89"/>
    </row>
    <row r="18" spans="2:6">
      <c r="B18" s="86"/>
      <c r="C18" s="87"/>
      <c r="D18" s="89"/>
      <c r="E18" s="89"/>
      <c r="F18" s="89"/>
    </row>
    <row r="19" spans="2:6">
      <c r="B19" s="86"/>
      <c r="C19" s="87"/>
      <c r="D19" s="89"/>
      <c r="E19" s="89"/>
      <c r="F19" s="89"/>
    </row>
    <row r="20" spans="2:6">
      <c r="B20" s="86"/>
      <c r="C20" s="87"/>
      <c r="D20" s="89"/>
      <c r="E20" s="89"/>
      <c r="F20" s="89"/>
    </row>
    <row r="21" spans="2:6">
      <c r="B21" s="86"/>
      <c r="C21" s="87"/>
      <c r="D21" s="89"/>
      <c r="E21" s="89"/>
      <c r="F21" s="89"/>
    </row>
  </sheetData>
  <mergeCells count="1">
    <mergeCell ref="B1:F1"/>
  </mergeCells>
  <phoneticPr fontId="6" type="noConversion"/>
  <pageMargins left="0.7" right="0.7" top="0.75" bottom="0.75" header="0.3" footer="0.3"/>
  <pageSetup paperSize="9" scale="7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5"/>
  <sheetViews>
    <sheetView view="pageBreakPreview" zoomScaleNormal="100" zoomScaleSheetLayoutView="100" workbookViewId="0">
      <selection activeCell="H15" sqref="H15"/>
    </sheetView>
  </sheetViews>
  <sheetFormatPr defaultColWidth="9.375" defaultRowHeight="10.8"/>
  <cols>
    <col min="1" max="1" width="27.125" style="60" bestFit="1" customWidth="1"/>
    <col min="2" max="2" width="31.625" style="60" bestFit="1" customWidth="1"/>
    <col min="3" max="16384" width="9.375" style="60"/>
  </cols>
  <sheetData>
    <row r="1" spans="1:2">
      <c r="A1" s="1" t="s">
        <v>254</v>
      </c>
    </row>
    <row r="2" spans="1:2">
      <c r="A2" s="35" t="s">
        <v>255</v>
      </c>
      <c r="B2" s="35" t="s">
        <v>661</v>
      </c>
    </row>
    <row r="3" spans="1:2">
      <c r="A3" s="35" t="s">
        <v>256</v>
      </c>
      <c r="B3" s="35" t="s">
        <v>659</v>
      </c>
    </row>
    <row r="4" spans="1:2">
      <c r="A4" s="35" t="s">
        <v>257</v>
      </c>
      <c r="B4" s="35" t="s">
        <v>630</v>
      </c>
    </row>
    <row r="9" spans="1:2">
      <c r="A9" s="1" t="s">
        <v>258</v>
      </c>
    </row>
    <row r="10" spans="1:2">
      <c r="A10" s="35" t="s">
        <v>259</v>
      </c>
      <c r="B10" s="35"/>
    </row>
    <row r="11" spans="1:2">
      <c r="A11" s="35" t="s">
        <v>260</v>
      </c>
      <c r="B11" s="35"/>
    </row>
    <row r="12" spans="1:2">
      <c r="A12" s="35" t="s">
        <v>261</v>
      </c>
      <c r="B12" s="35" t="s">
        <v>684</v>
      </c>
    </row>
    <row r="13" spans="1:2">
      <c r="A13" s="35" t="s">
        <v>262</v>
      </c>
      <c r="B13" s="35" t="s">
        <v>664</v>
      </c>
    </row>
    <row r="15" spans="1:2">
      <c r="A15" s="98" t="s">
        <v>685</v>
      </c>
      <c r="B15" s="60" t="s">
        <v>686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5"/>
  <sheetViews>
    <sheetView view="pageBreakPreview" zoomScaleNormal="100" zoomScaleSheetLayoutView="100" workbookViewId="0">
      <pane xSplit="2" ySplit="5" topLeftCell="C6" activePane="bottomRight" state="frozen"/>
      <selection activeCell="C25" sqref="C25"/>
      <selection pane="topRight" activeCell="C25" sqref="C25"/>
      <selection pane="bottomLeft" activeCell="C25" sqref="C25"/>
      <selection pane="bottomRight" activeCell="F7" sqref="F7:G7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1.375" style="77" customWidth="1"/>
    <col min="4" max="4" width="10.125" style="77" customWidth="1"/>
    <col min="5" max="5" width="19.875" style="78" customWidth="1"/>
    <col min="6" max="6" width="9.625" style="77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9" ht="32.25" customHeight="1">
      <c r="B2" s="121" t="s">
        <v>141</v>
      </c>
      <c r="C2" s="121"/>
      <c r="D2" s="121"/>
      <c r="E2" s="122"/>
      <c r="F2" s="122"/>
      <c r="G2" s="122"/>
      <c r="H2" s="63"/>
      <c r="I2" s="63"/>
    </row>
    <row r="3" spans="2:19" ht="17.25" customHeight="1">
      <c r="B3" s="117" t="s">
        <v>7</v>
      </c>
      <c r="C3" s="118"/>
      <c r="D3" s="4"/>
      <c r="E3" s="64" t="s">
        <v>263</v>
      </c>
      <c r="F3" s="4"/>
      <c r="G3" s="19" t="s">
        <v>662</v>
      </c>
      <c r="H3" s="63"/>
      <c r="I3" s="63"/>
    </row>
    <row r="4" spans="2:19" ht="17.25" customHeight="1">
      <c r="B4" s="117" t="str">
        <f>시스템정보!B2</f>
        <v>일대일거래APP</v>
      </c>
      <c r="C4" s="118"/>
      <c r="D4" s="4"/>
      <c r="E4" s="64" t="s">
        <v>263</v>
      </c>
      <c r="F4" s="4"/>
      <c r="G4" s="19" t="s">
        <v>662</v>
      </c>
      <c r="H4" s="63"/>
      <c r="I4" s="63"/>
    </row>
    <row r="5" spans="2:19" s="73" customFormat="1" ht="17.25" customHeight="1">
      <c r="B5" s="65" t="s">
        <v>80</v>
      </c>
      <c r="C5" s="65" t="s">
        <v>8</v>
      </c>
      <c r="D5" s="119" t="s">
        <v>264</v>
      </c>
      <c r="E5" s="125"/>
      <c r="F5" s="119" t="s">
        <v>6</v>
      </c>
      <c r="G5" s="120"/>
    </row>
    <row r="6" spans="2:19">
      <c r="B6" s="74" t="s">
        <v>27</v>
      </c>
      <c r="C6" s="56" t="s">
        <v>632</v>
      </c>
      <c r="D6" s="111" t="s">
        <v>634</v>
      </c>
      <c r="E6" s="112"/>
      <c r="F6" s="113" t="s">
        <v>633</v>
      </c>
      <c r="G6" s="114"/>
    </row>
    <row r="7" spans="2:19">
      <c r="B7" s="74" t="s">
        <v>28</v>
      </c>
      <c r="C7" s="56" t="s">
        <v>650</v>
      </c>
      <c r="D7" s="111" t="s">
        <v>638</v>
      </c>
      <c r="E7" s="112"/>
      <c r="F7" s="113" t="s">
        <v>633</v>
      </c>
      <c r="G7" s="114"/>
    </row>
    <row r="8" spans="2:19">
      <c r="B8" s="74" t="s">
        <v>29</v>
      </c>
      <c r="C8" s="56" t="s">
        <v>649</v>
      </c>
      <c r="D8" s="111" t="s">
        <v>639</v>
      </c>
      <c r="E8" s="112"/>
      <c r="F8" s="113" t="s">
        <v>633</v>
      </c>
      <c r="G8" s="114"/>
    </row>
    <row r="9" spans="2:19">
      <c r="B9" s="74" t="s">
        <v>30</v>
      </c>
      <c r="C9" s="56" t="s">
        <v>648</v>
      </c>
      <c r="D9" s="111" t="s">
        <v>640</v>
      </c>
      <c r="E9" s="112"/>
      <c r="F9" s="113" t="s">
        <v>633</v>
      </c>
      <c r="G9" s="114"/>
    </row>
    <row r="10" spans="2:19">
      <c r="B10" s="74" t="s">
        <v>31</v>
      </c>
      <c r="C10" s="56" t="s">
        <v>647</v>
      </c>
      <c r="D10" s="111" t="s">
        <v>641</v>
      </c>
      <c r="E10" s="112"/>
      <c r="F10" s="113" t="s">
        <v>633</v>
      </c>
      <c r="G10" s="114"/>
      <c r="S10" s="75"/>
    </row>
    <row r="11" spans="2:19">
      <c r="B11" s="74" t="s">
        <v>32</v>
      </c>
      <c r="C11" s="56" t="s">
        <v>646</v>
      </c>
      <c r="D11" s="111" t="s">
        <v>642</v>
      </c>
      <c r="E11" s="112"/>
      <c r="F11" s="123" t="s">
        <v>633</v>
      </c>
      <c r="G11" s="124"/>
    </row>
    <row r="12" spans="2:19">
      <c r="B12" s="74" t="s">
        <v>33</v>
      </c>
      <c r="C12" s="56" t="s">
        <v>644</v>
      </c>
      <c r="D12" s="111" t="s">
        <v>643</v>
      </c>
      <c r="E12" s="112"/>
      <c r="F12" s="113" t="s">
        <v>645</v>
      </c>
      <c r="G12" s="114"/>
      <c r="J12" s="76"/>
    </row>
    <row r="13" spans="2:19">
      <c r="B13" s="74" t="s">
        <v>34</v>
      </c>
      <c r="C13" s="56"/>
      <c r="D13" s="111"/>
      <c r="E13" s="112"/>
      <c r="F13" s="113"/>
      <c r="G13" s="114"/>
    </row>
    <row r="14" spans="2:19">
      <c r="B14" s="74" t="s">
        <v>35</v>
      </c>
      <c r="C14" s="56"/>
      <c r="D14" s="111"/>
      <c r="E14" s="112"/>
      <c r="F14" s="113"/>
      <c r="G14" s="114"/>
    </row>
    <row r="15" spans="2:19">
      <c r="B15" s="74" t="s">
        <v>36</v>
      </c>
      <c r="C15" s="56"/>
      <c r="D15" s="111"/>
      <c r="E15" s="112"/>
      <c r="F15" s="113"/>
      <c r="G15" s="114"/>
    </row>
    <row r="16" spans="2:19">
      <c r="B16" s="74" t="s">
        <v>37</v>
      </c>
      <c r="C16" s="56"/>
      <c r="D16" s="111"/>
      <c r="E16" s="112"/>
      <c r="F16" s="113"/>
      <c r="G16" s="114"/>
    </row>
    <row r="17" spans="2:7">
      <c r="B17" s="74" t="s">
        <v>38</v>
      </c>
      <c r="C17" s="56"/>
      <c r="D17" s="111"/>
      <c r="E17" s="112"/>
      <c r="F17" s="113"/>
      <c r="G17" s="114"/>
    </row>
    <row r="18" spans="2:7">
      <c r="B18" s="74" t="s">
        <v>39</v>
      </c>
      <c r="C18" s="56"/>
      <c r="D18" s="111"/>
      <c r="E18" s="112"/>
      <c r="F18" s="113"/>
      <c r="G18" s="114"/>
    </row>
    <row r="19" spans="2:7">
      <c r="B19" s="74" t="s">
        <v>40</v>
      </c>
      <c r="C19" s="56"/>
      <c r="D19" s="111"/>
      <c r="E19" s="112"/>
      <c r="F19" s="113"/>
      <c r="G19" s="114"/>
    </row>
    <row r="20" spans="2:7">
      <c r="B20" s="74" t="s">
        <v>41</v>
      </c>
      <c r="C20" s="56"/>
      <c r="D20" s="111"/>
      <c r="E20" s="112"/>
      <c r="F20" s="113"/>
      <c r="G20" s="114"/>
    </row>
    <row r="21" spans="2:7">
      <c r="B21" s="74" t="s">
        <v>42</v>
      </c>
      <c r="C21" s="56"/>
      <c r="D21" s="111"/>
      <c r="E21" s="112"/>
      <c r="F21" s="113"/>
      <c r="G21" s="114"/>
    </row>
    <row r="22" spans="2:7">
      <c r="B22" s="74" t="s">
        <v>43</v>
      </c>
      <c r="C22" s="56"/>
      <c r="D22" s="111"/>
      <c r="E22" s="112"/>
      <c r="F22" s="116"/>
      <c r="G22" s="114"/>
    </row>
    <row r="23" spans="2:7">
      <c r="B23" s="74" t="s">
        <v>44</v>
      </c>
      <c r="C23" s="58"/>
      <c r="D23" s="111"/>
      <c r="E23" s="112"/>
      <c r="F23" s="113"/>
      <c r="G23" s="114"/>
    </row>
    <row r="24" spans="2:7">
      <c r="B24" s="74" t="s">
        <v>45</v>
      </c>
      <c r="C24" s="58"/>
      <c r="D24" s="111"/>
      <c r="E24" s="112"/>
      <c r="F24" s="113"/>
      <c r="G24" s="114"/>
    </row>
    <row r="25" spans="2:7">
      <c r="B25" s="74" t="s">
        <v>46</v>
      </c>
      <c r="C25" s="58"/>
      <c r="D25" s="111"/>
      <c r="E25" s="112"/>
      <c r="F25" s="113"/>
      <c r="G25" s="114"/>
    </row>
    <row r="26" spans="2:7">
      <c r="B26" s="74" t="s">
        <v>47</v>
      </c>
      <c r="C26" s="58"/>
      <c r="D26" s="111"/>
      <c r="E26" s="112"/>
      <c r="F26" s="113"/>
      <c r="G26" s="114"/>
    </row>
    <row r="27" spans="2:7">
      <c r="B27" s="74" t="s">
        <v>48</v>
      </c>
      <c r="C27" s="58"/>
      <c r="D27" s="111"/>
      <c r="E27" s="112"/>
      <c r="F27" s="113"/>
      <c r="G27" s="114"/>
    </row>
    <row r="28" spans="2:7">
      <c r="B28" s="74" t="s">
        <v>49</v>
      </c>
      <c r="C28" s="58"/>
      <c r="D28" s="115"/>
      <c r="E28" s="112"/>
      <c r="F28" s="113"/>
      <c r="G28" s="114"/>
    </row>
    <row r="29" spans="2:7">
      <c r="B29" s="74" t="s">
        <v>50</v>
      </c>
      <c r="C29" s="58"/>
      <c r="D29" s="111"/>
      <c r="E29" s="112"/>
      <c r="F29" s="113"/>
      <c r="G29" s="114"/>
    </row>
    <row r="30" spans="2:7">
      <c r="B30" s="74" t="s">
        <v>51</v>
      </c>
      <c r="C30" s="58"/>
      <c r="D30" s="111"/>
      <c r="E30" s="112"/>
      <c r="F30" s="113"/>
      <c r="G30" s="114"/>
    </row>
    <row r="31" spans="2:7">
      <c r="B31" s="74" t="s">
        <v>52</v>
      </c>
      <c r="C31" s="58"/>
      <c r="D31" s="111"/>
      <c r="E31" s="112"/>
      <c r="F31" s="113"/>
      <c r="G31" s="114"/>
    </row>
    <row r="32" spans="2:7">
      <c r="B32" s="74" t="s">
        <v>53</v>
      </c>
      <c r="C32" s="58"/>
      <c r="D32" s="111"/>
      <c r="E32" s="112"/>
      <c r="F32" s="113"/>
      <c r="G32" s="114"/>
    </row>
    <row r="33" spans="2:19">
      <c r="B33" s="74" t="s">
        <v>54</v>
      </c>
      <c r="C33" s="58"/>
      <c r="D33" s="111"/>
      <c r="E33" s="112"/>
      <c r="F33" s="113"/>
      <c r="G33" s="114"/>
    </row>
    <row r="34" spans="2:19">
      <c r="B34" s="74" t="s">
        <v>55</v>
      </c>
      <c r="C34" s="58"/>
      <c r="D34" s="115"/>
      <c r="E34" s="112"/>
      <c r="F34" s="113"/>
      <c r="G34" s="114"/>
    </row>
    <row r="35" spans="2:19">
      <c r="B35" s="74" t="s">
        <v>56</v>
      </c>
      <c r="C35" s="58"/>
      <c r="D35" s="111"/>
      <c r="E35" s="112"/>
      <c r="F35" s="113"/>
      <c r="G35" s="114"/>
    </row>
    <row r="36" spans="2:19">
      <c r="B36" s="74" t="s">
        <v>57</v>
      </c>
      <c r="C36" s="58"/>
      <c r="D36" s="111"/>
      <c r="E36" s="112"/>
      <c r="F36" s="113"/>
      <c r="G36" s="114"/>
    </row>
    <row r="37" spans="2:19">
      <c r="B37" s="74" t="s">
        <v>58</v>
      </c>
      <c r="C37" s="58"/>
      <c r="D37" s="111"/>
      <c r="E37" s="112"/>
      <c r="F37" s="113"/>
      <c r="G37" s="114"/>
    </row>
    <row r="38" spans="2:19">
      <c r="B38" s="74" t="s">
        <v>59</v>
      </c>
      <c r="C38" s="58"/>
      <c r="D38" s="111"/>
      <c r="E38" s="112"/>
      <c r="F38" s="113"/>
      <c r="G38" s="114"/>
    </row>
    <row r="39" spans="2:19">
      <c r="B39" s="74" t="s">
        <v>60</v>
      </c>
      <c r="C39" s="58"/>
      <c r="D39" s="111"/>
      <c r="E39" s="112"/>
      <c r="F39" s="113"/>
      <c r="G39" s="114"/>
    </row>
    <row r="40" spans="2:19">
      <c r="B40" s="74" t="s">
        <v>61</v>
      </c>
      <c r="C40" s="58"/>
      <c r="D40" s="111"/>
      <c r="E40" s="112"/>
      <c r="F40" s="113"/>
      <c r="G40" s="114"/>
    </row>
    <row r="41" spans="2:19">
      <c r="B41" s="74" t="s">
        <v>62</v>
      </c>
      <c r="C41" s="58"/>
      <c r="D41" s="111"/>
      <c r="E41" s="112"/>
      <c r="F41" s="113"/>
      <c r="G41" s="114"/>
    </row>
    <row r="42" spans="2:19">
      <c r="B42" s="74" t="s">
        <v>63</v>
      </c>
      <c r="C42" s="58"/>
      <c r="D42" s="111"/>
      <c r="E42" s="112"/>
      <c r="F42" s="113"/>
      <c r="G42" s="114"/>
    </row>
    <row r="43" spans="2:19">
      <c r="B43" s="74" t="s">
        <v>64</v>
      </c>
      <c r="C43" s="58"/>
      <c r="D43" s="111"/>
      <c r="E43" s="112"/>
      <c r="F43" s="113"/>
      <c r="G43" s="114"/>
      <c r="S43" s="75"/>
    </row>
    <row r="44" spans="2:19">
      <c r="B44" s="74" t="s">
        <v>65</v>
      </c>
      <c r="C44" s="58"/>
      <c r="D44" s="111"/>
      <c r="E44" s="112"/>
      <c r="F44" s="113"/>
      <c r="G44" s="114"/>
    </row>
    <row r="45" spans="2:19">
      <c r="B45" s="74" t="s">
        <v>66</v>
      </c>
      <c r="C45" s="58"/>
      <c r="D45" s="111"/>
      <c r="E45" s="112"/>
      <c r="F45" s="113"/>
      <c r="G45" s="114"/>
    </row>
    <row r="46" spans="2:19">
      <c r="B46" s="74" t="s">
        <v>67</v>
      </c>
      <c r="C46" s="58"/>
      <c r="D46" s="111"/>
      <c r="E46" s="112"/>
      <c r="F46" s="113"/>
      <c r="G46" s="114"/>
    </row>
    <row r="47" spans="2:19">
      <c r="B47" s="74" t="s">
        <v>68</v>
      </c>
      <c r="C47" s="58"/>
      <c r="D47" s="111"/>
      <c r="E47" s="112"/>
      <c r="F47" s="113"/>
      <c r="G47" s="114"/>
    </row>
    <row r="48" spans="2:19">
      <c r="B48" s="74" t="s">
        <v>69</v>
      </c>
      <c r="C48" s="58"/>
      <c r="D48" s="111"/>
      <c r="E48" s="112"/>
      <c r="F48" s="113"/>
      <c r="G48" s="114"/>
    </row>
    <row r="49" spans="2:7">
      <c r="B49" s="74" t="s">
        <v>70</v>
      </c>
      <c r="C49" s="58"/>
      <c r="D49" s="111"/>
      <c r="E49" s="112"/>
      <c r="F49" s="113"/>
      <c r="G49" s="114"/>
    </row>
    <row r="50" spans="2:7">
      <c r="B50" s="74" t="s">
        <v>71</v>
      </c>
      <c r="C50" s="58"/>
      <c r="D50" s="111"/>
      <c r="E50" s="112"/>
      <c r="F50" s="113"/>
      <c r="G50" s="114"/>
    </row>
    <row r="51" spans="2:7">
      <c r="B51" s="74" t="s">
        <v>72</v>
      </c>
      <c r="C51" s="58"/>
      <c r="D51" s="111"/>
      <c r="E51" s="112"/>
      <c r="F51" s="113"/>
      <c r="G51" s="114"/>
    </row>
    <row r="52" spans="2:7">
      <c r="B52" s="74" t="s">
        <v>81</v>
      </c>
      <c r="C52" s="58"/>
      <c r="D52" s="111"/>
      <c r="E52" s="112"/>
      <c r="F52" s="113"/>
      <c r="G52" s="114"/>
    </row>
    <row r="53" spans="2:7">
      <c r="B53" s="74" t="s">
        <v>82</v>
      </c>
      <c r="C53" s="58"/>
      <c r="D53" s="111"/>
      <c r="E53" s="112"/>
      <c r="F53" s="113"/>
      <c r="G53" s="114"/>
    </row>
    <row r="54" spans="2:7">
      <c r="B54" s="74" t="s">
        <v>83</v>
      </c>
      <c r="C54" s="58"/>
      <c r="D54" s="111"/>
      <c r="E54" s="112"/>
      <c r="F54" s="113"/>
      <c r="G54" s="114"/>
    </row>
    <row r="55" spans="2:7">
      <c r="B55" s="74" t="s">
        <v>84</v>
      </c>
      <c r="C55" s="58"/>
      <c r="D55" s="111"/>
      <c r="E55" s="112"/>
      <c r="F55" s="113"/>
      <c r="G55" s="114"/>
    </row>
    <row r="56" spans="2:7">
      <c r="B56" s="74" t="s">
        <v>85</v>
      </c>
      <c r="C56" s="58"/>
      <c r="D56" s="111"/>
      <c r="E56" s="112"/>
      <c r="F56" s="113"/>
      <c r="G56" s="114"/>
    </row>
    <row r="57" spans="2:7">
      <c r="B57" s="74" t="s">
        <v>86</v>
      </c>
      <c r="C57" s="58"/>
      <c r="D57" s="111"/>
      <c r="E57" s="112"/>
      <c r="F57" s="113"/>
      <c r="G57" s="114"/>
    </row>
    <row r="58" spans="2:7">
      <c r="B58" s="74" t="s">
        <v>87</v>
      </c>
      <c r="C58" s="58"/>
      <c r="D58" s="111"/>
      <c r="E58" s="112"/>
      <c r="F58" s="113"/>
      <c r="G58" s="114"/>
    </row>
    <row r="59" spans="2:7">
      <c r="B59" s="74" t="s">
        <v>88</v>
      </c>
      <c r="C59" s="58"/>
      <c r="D59" s="111"/>
      <c r="E59" s="112"/>
      <c r="F59" s="113"/>
      <c r="G59" s="114"/>
    </row>
    <row r="60" spans="2:7">
      <c r="B60" s="74" t="s">
        <v>89</v>
      </c>
      <c r="C60" s="58"/>
      <c r="D60" s="111"/>
      <c r="E60" s="112"/>
      <c r="F60" s="113"/>
      <c r="G60" s="114"/>
    </row>
    <row r="61" spans="2:7">
      <c r="B61" s="74" t="s">
        <v>90</v>
      </c>
      <c r="C61" s="58"/>
      <c r="D61" s="111"/>
      <c r="E61" s="112"/>
      <c r="F61" s="113"/>
      <c r="G61" s="114"/>
    </row>
    <row r="62" spans="2:7">
      <c r="B62" s="74" t="s">
        <v>91</v>
      </c>
      <c r="C62" s="58"/>
      <c r="D62" s="111"/>
      <c r="E62" s="112"/>
      <c r="F62" s="113"/>
      <c r="G62" s="114"/>
    </row>
    <row r="63" spans="2:7">
      <c r="B63" s="74" t="s">
        <v>92</v>
      </c>
      <c r="C63" s="58"/>
      <c r="D63" s="111"/>
      <c r="E63" s="112"/>
      <c r="F63" s="113"/>
      <c r="G63" s="114"/>
    </row>
    <row r="64" spans="2:7">
      <c r="B64" s="74" t="s">
        <v>93</v>
      </c>
      <c r="C64" s="58"/>
      <c r="D64" s="111"/>
      <c r="E64" s="112"/>
      <c r="F64" s="113"/>
      <c r="G64" s="114"/>
    </row>
    <row r="65" spans="2:7">
      <c r="B65" s="74" t="s">
        <v>94</v>
      </c>
      <c r="C65" s="58"/>
      <c r="D65" s="111"/>
      <c r="E65" s="112"/>
      <c r="F65" s="113"/>
      <c r="G65" s="114"/>
    </row>
    <row r="66" spans="2:7">
      <c r="B66" s="74" t="s">
        <v>95</v>
      </c>
      <c r="C66" s="58"/>
      <c r="D66" s="111"/>
      <c r="E66" s="112"/>
      <c r="F66" s="113"/>
      <c r="G66" s="114"/>
    </row>
    <row r="67" spans="2:7">
      <c r="B67" s="74" t="s">
        <v>96</v>
      </c>
      <c r="C67" s="58"/>
      <c r="D67" s="111"/>
      <c r="E67" s="112"/>
      <c r="F67" s="113"/>
      <c r="G67" s="114"/>
    </row>
    <row r="68" spans="2:7">
      <c r="B68" s="74" t="s">
        <v>97</v>
      </c>
      <c r="C68" s="58"/>
      <c r="D68" s="111"/>
      <c r="E68" s="112"/>
      <c r="F68" s="113"/>
      <c r="G68" s="114"/>
    </row>
    <row r="69" spans="2:7">
      <c r="B69" s="74" t="s">
        <v>98</v>
      </c>
      <c r="C69" s="58"/>
      <c r="D69" s="111"/>
      <c r="E69" s="112"/>
      <c r="F69" s="113"/>
      <c r="G69" s="114"/>
    </row>
    <row r="70" spans="2:7">
      <c r="B70" s="74" t="s">
        <v>99</v>
      </c>
      <c r="C70" s="58"/>
      <c r="D70" s="111"/>
      <c r="E70" s="112"/>
      <c r="F70" s="113"/>
      <c r="G70" s="114"/>
    </row>
    <row r="71" spans="2:7">
      <c r="B71" s="74" t="s">
        <v>100</v>
      </c>
      <c r="C71" s="58"/>
      <c r="D71" s="111"/>
      <c r="E71" s="112"/>
      <c r="F71" s="113"/>
      <c r="G71" s="114"/>
    </row>
    <row r="72" spans="2:7">
      <c r="B72" s="74" t="s">
        <v>101</v>
      </c>
      <c r="C72" s="58"/>
      <c r="D72" s="111"/>
      <c r="E72" s="112"/>
      <c r="F72" s="113"/>
      <c r="G72" s="114"/>
    </row>
    <row r="73" spans="2:7">
      <c r="B73" s="74" t="s">
        <v>102</v>
      </c>
      <c r="C73" s="58"/>
      <c r="D73" s="111"/>
      <c r="E73" s="112"/>
      <c r="F73" s="113"/>
      <c r="G73" s="114"/>
    </row>
    <row r="74" spans="2:7">
      <c r="B74" s="74" t="s">
        <v>103</v>
      </c>
      <c r="C74" s="58"/>
      <c r="D74" s="111"/>
      <c r="E74" s="112"/>
      <c r="F74" s="113"/>
      <c r="G74" s="114"/>
    </row>
    <row r="75" spans="2:7">
      <c r="B75" s="74" t="s">
        <v>104</v>
      </c>
      <c r="C75" s="58"/>
      <c r="D75" s="111"/>
      <c r="E75" s="112"/>
      <c r="F75" s="113"/>
      <c r="G75" s="114"/>
    </row>
    <row r="76" spans="2:7">
      <c r="B76" s="74" t="s">
        <v>105</v>
      </c>
      <c r="C76" s="58"/>
      <c r="D76" s="111"/>
      <c r="E76" s="112"/>
      <c r="F76" s="113"/>
      <c r="G76" s="114"/>
    </row>
    <row r="77" spans="2:7">
      <c r="B77" s="74" t="s">
        <v>106</v>
      </c>
      <c r="C77" s="58"/>
      <c r="D77" s="111"/>
      <c r="E77" s="112"/>
      <c r="F77" s="113"/>
      <c r="G77" s="114"/>
    </row>
    <row r="78" spans="2:7">
      <c r="B78" s="74" t="s">
        <v>107</v>
      </c>
      <c r="C78" s="58"/>
      <c r="D78" s="111"/>
      <c r="E78" s="112"/>
      <c r="F78" s="113"/>
      <c r="G78" s="114"/>
    </row>
    <row r="79" spans="2:7">
      <c r="B79" s="74" t="s">
        <v>108</v>
      </c>
      <c r="C79" s="58"/>
      <c r="D79" s="111"/>
      <c r="E79" s="112"/>
      <c r="F79" s="113"/>
      <c r="G79" s="114"/>
    </row>
    <row r="80" spans="2:7">
      <c r="B80" s="74" t="s">
        <v>109</v>
      </c>
      <c r="C80" s="58"/>
      <c r="D80" s="111"/>
      <c r="E80" s="112"/>
      <c r="F80" s="113"/>
      <c r="G80" s="114"/>
    </row>
    <row r="81" spans="2:7">
      <c r="B81" s="74" t="s">
        <v>110</v>
      </c>
      <c r="C81" s="58"/>
      <c r="D81" s="111"/>
      <c r="E81" s="112"/>
      <c r="F81" s="113"/>
      <c r="G81" s="114"/>
    </row>
    <row r="82" spans="2:7">
      <c r="B82" s="74" t="s">
        <v>111</v>
      </c>
      <c r="C82" s="58"/>
      <c r="D82" s="111"/>
      <c r="E82" s="112"/>
      <c r="F82" s="113"/>
      <c r="G82" s="114"/>
    </row>
    <row r="83" spans="2:7">
      <c r="B83" s="74" t="s">
        <v>112</v>
      </c>
      <c r="C83" s="58"/>
      <c r="D83" s="111"/>
      <c r="E83" s="112"/>
      <c r="F83" s="113"/>
      <c r="G83" s="114"/>
    </row>
    <row r="84" spans="2:7">
      <c r="B84" s="74" t="s">
        <v>113</v>
      </c>
      <c r="C84" s="58"/>
      <c r="D84" s="111"/>
      <c r="E84" s="112"/>
      <c r="F84" s="113"/>
      <c r="G84" s="114"/>
    </row>
    <row r="85" spans="2:7">
      <c r="B85" s="74" t="s">
        <v>114</v>
      </c>
      <c r="C85" s="58"/>
      <c r="D85" s="111"/>
      <c r="E85" s="112"/>
      <c r="F85" s="113"/>
      <c r="G85" s="114"/>
    </row>
    <row r="86" spans="2:7">
      <c r="B86" s="74" t="s">
        <v>115</v>
      </c>
      <c r="C86" s="58"/>
      <c r="D86" s="111"/>
      <c r="E86" s="112"/>
      <c r="F86" s="113"/>
      <c r="G86" s="114"/>
    </row>
    <row r="87" spans="2:7">
      <c r="B87" s="74" t="s">
        <v>116</v>
      </c>
      <c r="C87" s="58"/>
      <c r="D87" s="111"/>
      <c r="E87" s="112"/>
      <c r="F87" s="113"/>
      <c r="G87" s="114"/>
    </row>
    <row r="88" spans="2:7">
      <c r="B88" s="74" t="s">
        <v>117</v>
      </c>
      <c r="C88" s="58"/>
      <c r="D88" s="111"/>
      <c r="E88" s="112"/>
      <c r="F88" s="113"/>
      <c r="G88" s="114"/>
    </row>
    <row r="89" spans="2:7">
      <c r="B89" s="74" t="s">
        <v>118</v>
      </c>
      <c r="C89" s="58"/>
      <c r="D89" s="111"/>
      <c r="E89" s="112"/>
      <c r="F89" s="113"/>
      <c r="G89" s="114"/>
    </row>
    <row r="90" spans="2:7">
      <c r="B90" s="74" t="s">
        <v>119</v>
      </c>
      <c r="C90" s="58"/>
      <c r="D90" s="111"/>
      <c r="E90" s="112"/>
      <c r="F90" s="113"/>
      <c r="G90" s="114"/>
    </row>
    <row r="91" spans="2:7">
      <c r="B91" s="74" t="s">
        <v>120</v>
      </c>
      <c r="C91" s="58"/>
      <c r="D91" s="111"/>
      <c r="E91" s="112"/>
      <c r="F91" s="113"/>
      <c r="G91" s="114"/>
    </row>
    <row r="92" spans="2:7">
      <c r="B92" s="74" t="s">
        <v>121</v>
      </c>
      <c r="C92" s="58"/>
      <c r="D92" s="111"/>
      <c r="E92" s="112"/>
      <c r="F92" s="113"/>
      <c r="G92" s="114"/>
    </row>
    <row r="93" spans="2:7">
      <c r="B93" s="74" t="s">
        <v>122</v>
      </c>
      <c r="C93" s="58"/>
      <c r="D93" s="111"/>
      <c r="E93" s="112"/>
      <c r="F93" s="113"/>
      <c r="G93" s="114"/>
    </row>
    <row r="94" spans="2:7">
      <c r="B94" s="74" t="s">
        <v>123</v>
      </c>
      <c r="C94" s="58"/>
      <c r="D94" s="111"/>
      <c r="E94" s="112"/>
      <c r="F94" s="113"/>
      <c r="G94" s="114"/>
    </row>
    <row r="95" spans="2:7">
      <c r="B95" s="74" t="s">
        <v>124</v>
      </c>
      <c r="C95" s="58"/>
      <c r="D95" s="111"/>
      <c r="E95" s="112"/>
      <c r="F95" s="113"/>
      <c r="G95" s="114"/>
    </row>
    <row r="96" spans="2:7">
      <c r="B96" s="74" t="s">
        <v>125</v>
      </c>
      <c r="C96" s="58"/>
      <c r="D96" s="111"/>
      <c r="E96" s="112"/>
      <c r="F96" s="113"/>
      <c r="G96" s="114"/>
    </row>
    <row r="97" spans="2:7">
      <c r="B97" s="74" t="s">
        <v>126</v>
      </c>
      <c r="C97" s="58"/>
      <c r="D97" s="111"/>
      <c r="E97" s="112"/>
      <c r="F97" s="113"/>
      <c r="G97" s="114"/>
    </row>
    <row r="98" spans="2:7">
      <c r="B98" s="74" t="s">
        <v>127</v>
      </c>
      <c r="C98" s="58"/>
      <c r="D98" s="111"/>
      <c r="E98" s="112"/>
      <c r="F98" s="113"/>
      <c r="G98" s="114"/>
    </row>
    <row r="99" spans="2:7">
      <c r="B99" s="74" t="s">
        <v>128</v>
      </c>
      <c r="C99" s="58"/>
      <c r="D99" s="111"/>
      <c r="E99" s="112"/>
      <c r="F99" s="113"/>
      <c r="G99" s="114"/>
    </row>
    <row r="100" spans="2:7">
      <c r="B100" s="74" t="s">
        <v>129</v>
      </c>
      <c r="C100" s="58"/>
      <c r="D100" s="111"/>
      <c r="E100" s="112"/>
      <c r="F100" s="113"/>
      <c r="G100" s="114"/>
    </row>
    <row r="101" spans="2:7">
      <c r="B101" s="74" t="s">
        <v>130</v>
      </c>
      <c r="C101" s="58"/>
      <c r="D101" s="111"/>
      <c r="E101" s="112"/>
      <c r="F101" s="113"/>
      <c r="G101" s="114"/>
    </row>
    <row r="102" spans="2:7">
      <c r="B102" s="74" t="s">
        <v>131</v>
      </c>
      <c r="C102" s="58"/>
      <c r="D102" s="111"/>
      <c r="E102" s="112"/>
      <c r="F102" s="113"/>
      <c r="G102" s="114"/>
    </row>
    <row r="103" spans="2:7">
      <c r="B103" s="74" t="s">
        <v>132</v>
      </c>
      <c r="C103" s="58"/>
      <c r="D103" s="111"/>
      <c r="E103" s="112"/>
      <c r="F103" s="113"/>
      <c r="G103" s="114"/>
    </row>
    <row r="104" spans="2:7">
      <c r="B104" s="74" t="s">
        <v>133</v>
      </c>
      <c r="C104" s="58"/>
      <c r="D104" s="111"/>
      <c r="E104" s="112"/>
      <c r="F104" s="113"/>
      <c r="G104" s="114"/>
    </row>
    <row r="105" spans="2:7">
      <c r="B105" s="74" t="s">
        <v>134</v>
      </c>
      <c r="C105" s="58"/>
      <c r="D105" s="111"/>
      <c r="E105" s="112"/>
      <c r="F105" s="113"/>
      <c r="G105" s="114"/>
    </row>
    <row r="106" spans="2:7">
      <c r="B106" s="74" t="s">
        <v>142</v>
      </c>
      <c r="C106" s="58"/>
      <c r="D106" s="111"/>
      <c r="E106" s="112"/>
      <c r="F106" s="113"/>
      <c r="G106" s="114"/>
    </row>
    <row r="107" spans="2:7">
      <c r="B107" s="74" t="s">
        <v>143</v>
      </c>
      <c r="C107" s="58"/>
      <c r="D107" s="111"/>
      <c r="E107" s="112"/>
      <c r="F107" s="113"/>
      <c r="G107" s="114"/>
    </row>
    <row r="108" spans="2:7">
      <c r="B108" s="74" t="s">
        <v>144</v>
      </c>
      <c r="C108" s="58"/>
      <c r="D108" s="111"/>
      <c r="E108" s="112"/>
      <c r="F108" s="113"/>
      <c r="G108" s="114"/>
    </row>
    <row r="109" spans="2:7">
      <c r="B109" s="74" t="s">
        <v>145</v>
      </c>
      <c r="C109" s="58"/>
      <c r="D109" s="111"/>
      <c r="E109" s="112"/>
      <c r="F109" s="113"/>
      <c r="G109" s="114"/>
    </row>
    <row r="110" spans="2:7">
      <c r="B110" s="74" t="s">
        <v>146</v>
      </c>
      <c r="C110" s="58"/>
      <c r="D110" s="111"/>
      <c r="E110" s="112"/>
      <c r="F110" s="113"/>
      <c r="G110" s="114"/>
    </row>
    <row r="111" spans="2:7">
      <c r="B111" s="74" t="s">
        <v>147</v>
      </c>
      <c r="C111" s="58"/>
      <c r="D111" s="111"/>
      <c r="E111" s="112"/>
      <c r="F111" s="113"/>
      <c r="G111" s="114"/>
    </row>
    <row r="112" spans="2:7">
      <c r="B112" s="74" t="s">
        <v>148</v>
      </c>
      <c r="C112" s="58"/>
      <c r="D112" s="111"/>
      <c r="E112" s="112"/>
      <c r="F112" s="113"/>
      <c r="G112" s="114"/>
    </row>
    <row r="113" spans="2:7">
      <c r="B113" s="74" t="s">
        <v>149</v>
      </c>
      <c r="C113" s="58"/>
      <c r="D113" s="111"/>
      <c r="E113" s="112"/>
      <c r="F113" s="113"/>
      <c r="G113" s="114"/>
    </row>
    <row r="114" spans="2:7">
      <c r="B114" s="74" t="s">
        <v>150</v>
      </c>
      <c r="C114" s="58"/>
      <c r="D114" s="111"/>
      <c r="E114" s="112"/>
      <c r="F114" s="113"/>
      <c r="G114" s="114"/>
    </row>
    <row r="115" spans="2:7">
      <c r="B115" s="74" t="s">
        <v>151</v>
      </c>
      <c r="C115" s="58"/>
      <c r="D115" s="111"/>
      <c r="E115" s="112"/>
      <c r="F115" s="113"/>
      <c r="G115" s="114"/>
    </row>
    <row r="116" spans="2:7">
      <c r="B116" s="74" t="s">
        <v>152</v>
      </c>
      <c r="C116" s="58"/>
      <c r="D116" s="111"/>
      <c r="E116" s="112"/>
      <c r="F116" s="113"/>
      <c r="G116" s="114"/>
    </row>
    <row r="117" spans="2:7">
      <c r="B117" s="74" t="s">
        <v>153</v>
      </c>
      <c r="C117" s="58"/>
      <c r="D117" s="111"/>
      <c r="E117" s="112"/>
      <c r="F117" s="113"/>
      <c r="G117" s="114"/>
    </row>
    <row r="118" spans="2:7">
      <c r="B118" s="74" t="s">
        <v>154</v>
      </c>
      <c r="C118" s="58"/>
      <c r="D118" s="111"/>
      <c r="E118" s="112"/>
      <c r="F118" s="113"/>
      <c r="G118" s="114"/>
    </row>
    <row r="119" spans="2:7">
      <c r="B119" s="74" t="s">
        <v>155</v>
      </c>
      <c r="C119" s="58"/>
      <c r="D119" s="111"/>
      <c r="E119" s="112"/>
      <c r="F119" s="113"/>
      <c r="G119" s="114"/>
    </row>
    <row r="120" spans="2:7">
      <c r="B120" s="74" t="s">
        <v>156</v>
      </c>
      <c r="C120" s="58"/>
      <c r="D120" s="111"/>
      <c r="E120" s="112"/>
      <c r="F120" s="113"/>
      <c r="G120" s="114"/>
    </row>
    <row r="121" spans="2:7">
      <c r="B121" s="74" t="s">
        <v>157</v>
      </c>
      <c r="C121" s="58"/>
      <c r="D121" s="111"/>
      <c r="E121" s="112"/>
      <c r="F121" s="113"/>
      <c r="G121" s="114"/>
    </row>
    <row r="122" spans="2:7">
      <c r="B122" s="74" t="s">
        <v>158</v>
      </c>
      <c r="C122" s="58"/>
      <c r="D122" s="111"/>
      <c r="E122" s="112"/>
      <c r="F122" s="113"/>
      <c r="G122" s="114"/>
    </row>
    <row r="123" spans="2:7">
      <c r="B123" s="74" t="s">
        <v>159</v>
      </c>
      <c r="C123" s="58"/>
      <c r="D123" s="111"/>
      <c r="E123" s="112"/>
      <c r="F123" s="113"/>
      <c r="G123" s="114"/>
    </row>
    <row r="124" spans="2:7">
      <c r="B124" s="74" t="s">
        <v>160</v>
      </c>
      <c r="C124" s="58"/>
      <c r="D124" s="111"/>
      <c r="E124" s="112"/>
      <c r="F124" s="113"/>
      <c r="G124" s="114"/>
    </row>
    <row r="125" spans="2:7">
      <c r="B125" s="74" t="s">
        <v>161</v>
      </c>
      <c r="C125" s="58"/>
      <c r="D125" s="111"/>
      <c r="E125" s="112"/>
      <c r="F125" s="113"/>
      <c r="G125" s="114"/>
    </row>
    <row r="126" spans="2:7">
      <c r="B126" s="74" t="s">
        <v>162</v>
      </c>
      <c r="C126" s="58"/>
      <c r="D126" s="111"/>
      <c r="E126" s="112"/>
      <c r="F126" s="113"/>
      <c r="G126" s="114"/>
    </row>
    <row r="127" spans="2:7">
      <c r="B127" s="74" t="s">
        <v>163</v>
      </c>
      <c r="C127" s="58"/>
      <c r="D127" s="111"/>
      <c r="E127" s="112"/>
      <c r="F127" s="113"/>
      <c r="G127" s="114"/>
    </row>
    <row r="128" spans="2:7">
      <c r="B128" s="74" t="s">
        <v>164</v>
      </c>
      <c r="C128" s="58"/>
      <c r="D128" s="111"/>
      <c r="E128" s="112"/>
      <c r="F128" s="113"/>
      <c r="G128" s="114"/>
    </row>
    <row r="129" spans="2:7">
      <c r="B129" s="74" t="s">
        <v>165</v>
      </c>
      <c r="C129" s="58"/>
      <c r="D129" s="111"/>
      <c r="E129" s="112"/>
      <c r="F129" s="113"/>
      <c r="G129" s="114"/>
    </row>
    <row r="130" spans="2:7">
      <c r="B130" s="74" t="s">
        <v>166</v>
      </c>
      <c r="C130" s="58"/>
      <c r="D130" s="111"/>
      <c r="E130" s="112"/>
      <c r="F130" s="113"/>
      <c r="G130" s="114"/>
    </row>
    <row r="131" spans="2:7">
      <c r="B131" s="74" t="s">
        <v>167</v>
      </c>
      <c r="C131" s="58"/>
      <c r="D131" s="111"/>
      <c r="E131" s="112"/>
      <c r="F131" s="113"/>
      <c r="G131" s="114"/>
    </row>
    <row r="132" spans="2:7">
      <c r="B132" s="74" t="s">
        <v>168</v>
      </c>
      <c r="C132" s="58"/>
      <c r="D132" s="111"/>
      <c r="E132" s="112"/>
      <c r="F132" s="113"/>
      <c r="G132" s="114"/>
    </row>
    <row r="133" spans="2:7">
      <c r="B133" s="74" t="s">
        <v>169</v>
      </c>
      <c r="C133" s="58"/>
      <c r="D133" s="111"/>
      <c r="E133" s="112"/>
      <c r="F133" s="113"/>
      <c r="G133" s="114"/>
    </row>
    <row r="134" spans="2:7">
      <c r="B134" s="74" t="s">
        <v>170</v>
      </c>
      <c r="C134" s="58"/>
      <c r="D134" s="111"/>
      <c r="E134" s="112"/>
      <c r="F134" s="113"/>
      <c r="G134" s="114"/>
    </row>
    <row r="135" spans="2:7">
      <c r="B135" s="74" t="s">
        <v>171</v>
      </c>
      <c r="C135" s="58"/>
      <c r="D135" s="111"/>
      <c r="E135" s="112"/>
      <c r="F135" s="113"/>
      <c r="G135" s="114"/>
    </row>
    <row r="136" spans="2:7">
      <c r="B136" s="74" t="s">
        <v>172</v>
      </c>
      <c r="C136" s="58"/>
      <c r="D136" s="111"/>
      <c r="E136" s="112"/>
      <c r="F136" s="113"/>
      <c r="G136" s="114"/>
    </row>
    <row r="137" spans="2:7">
      <c r="B137" s="74" t="s">
        <v>173</v>
      </c>
      <c r="C137" s="58"/>
      <c r="D137" s="111"/>
      <c r="E137" s="112"/>
      <c r="F137" s="113"/>
      <c r="G137" s="114"/>
    </row>
    <row r="138" spans="2:7">
      <c r="B138" s="74" t="s">
        <v>174</v>
      </c>
      <c r="C138" s="58"/>
      <c r="D138" s="111"/>
      <c r="E138" s="112"/>
      <c r="F138" s="113"/>
      <c r="G138" s="114"/>
    </row>
    <row r="139" spans="2:7">
      <c r="B139" s="74" t="s">
        <v>175</v>
      </c>
      <c r="C139" s="58"/>
      <c r="D139" s="111"/>
      <c r="E139" s="112"/>
      <c r="F139" s="113"/>
      <c r="G139" s="114"/>
    </row>
    <row r="140" spans="2:7">
      <c r="B140" s="74" t="s">
        <v>176</v>
      </c>
      <c r="C140" s="58"/>
      <c r="D140" s="111"/>
      <c r="E140" s="112"/>
      <c r="F140" s="113"/>
      <c r="G140" s="114"/>
    </row>
    <row r="141" spans="2:7">
      <c r="B141" s="74" t="s">
        <v>177</v>
      </c>
      <c r="C141" s="58"/>
      <c r="D141" s="111"/>
      <c r="E141" s="112"/>
      <c r="F141" s="113"/>
      <c r="G141" s="114"/>
    </row>
    <row r="142" spans="2:7">
      <c r="B142" s="74" t="s">
        <v>178</v>
      </c>
      <c r="C142" s="58"/>
      <c r="D142" s="111"/>
      <c r="E142" s="112"/>
      <c r="F142" s="113"/>
      <c r="G142" s="114"/>
    </row>
    <row r="143" spans="2:7">
      <c r="B143" s="74" t="s">
        <v>179</v>
      </c>
      <c r="C143" s="58"/>
      <c r="D143" s="111"/>
      <c r="E143" s="112"/>
      <c r="F143" s="113"/>
      <c r="G143" s="114"/>
    </row>
    <row r="144" spans="2:7">
      <c r="B144" s="74" t="s">
        <v>180</v>
      </c>
      <c r="C144" s="58"/>
      <c r="D144" s="111"/>
      <c r="E144" s="112"/>
      <c r="F144" s="113"/>
      <c r="G144" s="114"/>
    </row>
    <row r="145" spans="2:9">
      <c r="B145" s="74" t="s">
        <v>181</v>
      </c>
      <c r="C145" s="58"/>
      <c r="D145" s="111"/>
      <c r="E145" s="112"/>
      <c r="F145" s="113"/>
      <c r="G145" s="114"/>
    </row>
    <row r="146" spans="2:9">
      <c r="B146" s="74" t="s">
        <v>182</v>
      </c>
      <c r="C146" s="58"/>
      <c r="D146" s="111"/>
      <c r="E146" s="112"/>
      <c r="F146" s="113"/>
      <c r="G146" s="114"/>
    </row>
    <row r="147" spans="2:9">
      <c r="B147" s="74" t="s">
        <v>183</v>
      </c>
      <c r="C147" s="58"/>
      <c r="D147" s="111"/>
      <c r="E147" s="112"/>
      <c r="F147" s="113"/>
      <c r="G147" s="114"/>
    </row>
    <row r="148" spans="2:9">
      <c r="B148" s="74" t="s">
        <v>184</v>
      </c>
      <c r="C148" s="58"/>
      <c r="D148" s="111"/>
      <c r="E148" s="112"/>
      <c r="F148" s="113"/>
      <c r="G148" s="114"/>
    </row>
    <row r="149" spans="2:9">
      <c r="B149" s="74" t="s">
        <v>185</v>
      </c>
      <c r="C149" s="58"/>
      <c r="D149" s="111"/>
      <c r="E149" s="112"/>
      <c r="F149" s="113"/>
      <c r="G149" s="114"/>
    </row>
    <row r="150" spans="2:9">
      <c r="B150" s="74" t="s">
        <v>186</v>
      </c>
      <c r="C150" s="58"/>
      <c r="D150" s="111"/>
      <c r="E150" s="112"/>
      <c r="F150" s="113"/>
      <c r="G150" s="114"/>
    </row>
    <row r="151" spans="2:9">
      <c r="B151" s="74" t="s">
        <v>187</v>
      </c>
      <c r="C151" s="58"/>
      <c r="D151" s="111"/>
      <c r="E151" s="112"/>
      <c r="F151" s="113"/>
      <c r="G151" s="114"/>
    </row>
    <row r="152" spans="2:9">
      <c r="B152" s="74" t="s">
        <v>188</v>
      </c>
      <c r="C152" s="58"/>
      <c r="D152" s="111"/>
      <c r="E152" s="112"/>
      <c r="F152" s="113"/>
      <c r="G152" s="114"/>
    </row>
    <row r="153" spans="2:9">
      <c r="B153" s="74" t="s">
        <v>189</v>
      </c>
      <c r="C153" s="58"/>
      <c r="D153" s="111"/>
      <c r="E153" s="112"/>
      <c r="F153" s="113"/>
      <c r="G153" s="114"/>
    </row>
    <row r="154" spans="2:9">
      <c r="B154" s="74" t="s">
        <v>190</v>
      </c>
      <c r="C154" s="58"/>
      <c r="D154" s="111"/>
      <c r="E154" s="112"/>
      <c r="F154" s="113"/>
      <c r="G154" s="114"/>
    </row>
    <row r="155" spans="2:9">
      <c r="B155" s="74" t="s">
        <v>191</v>
      </c>
      <c r="C155" s="58"/>
      <c r="D155" s="111"/>
      <c r="E155" s="112"/>
      <c r="F155" s="113"/>
      <c r="G155" s="114"/>
    </row>
    <row r="156" spans="2:9">
      <c r="B156" s="74" t="s">
        <v>192</v>
      </c>
      <c r="C156" s="58"/>
      <c r="D156" s="111"/>
      <c r="E156" s="112"/>
      <c r="F156" s="113"/>
      <c r="G156" s="114"/>
    </row>
    <row r="157" spans="2:9">
      <c r="B157" s="74" t="s">
        <v>193</v>
      </c>
      <c r="C157" s="58"/>
      <c r="D157" s="111"/>
      <c r="E157" s="112"/>
      <c r="F157" s="113"/>
      <c r="G157" s="114"/>
      <c r="I157" s="16" t="str">
        <f t="shared" ref="I157:I198" si="0">IF($C157="","-- ","COMMENT ON TABLE "&amp;LEFT($C157&amp;REPT(" ",30),30)&amp;" IS  '"&amp;(RIGHT(REPT("0",2)&amp;$B157,3)&amp;"."&amp;TRIM($D157)&amp;"';"))</f>
        <v xml:space="preserve">-- </v>
      </c>
    </row>
    <row r="158" spans="2:9">
      <c r="B158" s="74" t="s">
        <v>194</v>
      </c>
      <c r="C158" s="58"/>
      <c r="D158" s="111"/>
      <c r="E158" s="112"/>
      <c r="F158" s="113"/>
      <c r="G158" s="114"/>
      <c r="I158" s="16" t="str">
        <f t="shared" si="0"/>
        <v xml:space="preserve">-- </v>
      </c>
    </row>
    <row r="159" spans="2:9">
      <c r="B159" s="74" t="s">
        <v>195</v>
      </c>
      <c r="C159" s="58"/>
      <c r="D159" s="111"/>
      <c r="E159" s="112"/>
      <c r="F159" s="113"/>
      <c r="G159" s="114"/>
      <c r="I159" s="16" t="str">
        <f t="shared" si="0"/>
        <v xml:space="preserve">-- </v>
      </c>
    </row>
    <row r="160" spans="2:9">
      <c r="B160" s="74" t="s">
        <v>196</v>
      </c>
      <c r="C160" s="58"/>
      <c r="D160" s="111"/>
      <c r="E160" s="112"/>
      <c r="F160" s="113"/>
      <c r="G160" s="114"/>
      <c r="I160" s="16" t="str">
        <f t="shared" si="0"/>
        <v xml:space="preserve">-- </v>
      </c>
    </row>
    <row r="161" spans="2:9">
      <c r="B161" s="74" t="s">
        <v>197</v>
      </c>
      <c r="C161" s="58"/>
      <c r="D161" s="111"/>
      <c r="E161" s="112"/>
      <c r="F161" s="113"/>
      <c r="G161" s="114"/>
      <c r="I161" s="16" t="str">
        <f t="shared" si="0"/>
        <v xml:space="preserve">-- </v>
      </c>
    </row>
    <row r="162" spans="2:9">
      <c r="B162" s="74" t="s">
        <v>198</v>
      </c>
      <c r="C162" s="58"/>
      <c r="D162" s="111"/>
      <c r="E162" s="112"/>
      <c r="F162" s="113"/>
      <c r="G162" s="114"/>
      <c r="I162" s="16" t="str">
        <f t="shared" si="0"/>
        <v xml:space="preserve">-- </v>
      </c>
    </row>
    <row r="163" spans="2:9">
      <c r="B163" s="74" t="s">
        <v>199</v>
      </c>
      <c r="C163" s="58"/>
      <c r="D163" s="111"/>
      <c r="E163" s="112"/>
      <c r="F163" s="113"/>
      <c r="G163" s="114"/>
      <c r="I163" s="16" t="str">
        <f t="shared" si="0"/>
        <v xml:space="preserve">-- </v>
      </c>
    </row>
    <row r="164" spans="2:9">
      <c r="B164" s="74" t="s">
        <v>200</v>
      </c>
      <c r="C164" s="58"/>
      <c r="D164" s="111"/>
      <c r="E164" s="112"/>
      <c r="F164" s="113"/>
      <c r="G164" s="114"/>
      <c r="I164" s="16" t="str">
        <f t="shared" si="0"/>
        <v xml:space="preserve">-- </v>
      </c>
    </row>
    <row r="165" spans="2:9">
      <c r="B165" s="74" t="s">
        <v>201</v>
      </c>
      <c r="C165" s="58"/>
      <c r="D165" s="111"/>
      <c r="E165" s="112"/>
      <c r="F165" s="113"/>
      <c r="G165" s="114"/>
      <c r="I165" s="16" t="str">
        <f t="shared" si="0"/>
        <v xml:space="preserve">-- </v>
      </c>
    </row>
    <row r="166" spans="2:9">
      <c r="B166" s="74" t="s">
        <v>202</v>
      </c>
      <c r="C166" s="58"/>
      <c r="D166" s="111"/>
      <c r="E166" s="112"/>
      <c r="F166" s="113"/>
      <c r="G166" s="114"/>
      <c r="I166" s="16" t="str">
        <f t="shared" si="0"/>
        <v xml:space="preserve">-- </v>
      </c>
    </row>
    <row r="167" spans="2:9">
      <c r="B167" s="74" t="s">
        <v>203</v>
      </c>
      <c r="C167" s="58"/>
      <c r="D167" s="111"/>
      <c r="E167" s="112"/>
      <c r="F167" s="113"/>
      <c r="G167" s="114"/>
      <c r="I167" s="16" t="str">
        <f t="shared" si="0"/>
        <v xml:space="preserve">-- </v>
      </c>
    </row>
    <row r="168" spans="2:9">
      <c r="B168" s="74" t="s">
        <v>204</v>
      </c>
      <c r="C168" s="58"/>
      <c r="D168" s="111"/>
      <c r="E168" s="112"/>
      <c r="F168" s="113"/>
      <c r="G168" s="114"/>
      <c r="I168" s="16" t="str">
        <f t="shared" si="0"/>
        <v xml:space="preserve">-- </v>
      </c>
    </row>
    <row r="169" spans="2:9">
      <c r="B169" s="74" t="s">
        <v>205</v>
      </c>
      <c r="C169" s="58"/>
      <c r="D169" s="111"/>
      <c r="E169" s="112"/>
      <c r="F169" s="113"/>
      <c r="G169" s="114"/>
      <c r="I169" s="16" t="str">
        <f t="shared" si="0"/>
        <v xml:space="preserve">-- </v>
      </c>
    </row>
    <row r="170" spans="2:9">
      <c r="B170" s="74" t="s">
        <v>206</v>
      </c>
      <c r="C170" s="58"/>
      <c r="D170" s="111"/>
      <c r="E170" s="112"/>
      <c r="F170" s="113"/>
      <c r="G170" s="114"/>
      <c r="I170" s="16" t="str">
        <f t="shared" si="0"/>
        <v xml:space="preserve">-- </v>
      </c>
    </row>
    <row r="171" spans="2:9">
      <c r="B171" s="74" t="s">
        <v>207</v>
      </c>
      <c r="C171" s="58"/>
      <c r="D171" s="111"/>
      <c r="E171" s="112"/>
      <c r="F171" s="113"/>
      <c r="G171" s="114"/>
      <c r="I171" s="16" t="str">
        <f t="shared" si="0"/>
        <v xml:space="preserve">-- </v>
      </c>
    </row>
    <row r="172" spans="2:9">
      <c r="B172" s="74" t="s">
        <v>208</v>
      </c>
      <c r="C172" s="58"/>
      <c r="D172" s="111"/>
      <c r="E172" s="112"/>
      <c r="F172" s="113"/>
      <c r="G172" s="114"/>
      <c r="I172" s="16" t="str">
        <f t="shared" si="0"/>
        <v xml:space="preserve">-- </v>
      </c>
    </row>
    <row r="173" spans="2:9">
      <c r="B173" s="74" t="s">
        <v>209</v>
      </c>
      <c r="C173" s="58"/>
      <c r="D173" s="111"/>
      <c r="E173" s="112"/>
      <c r="F173" s="113"/>
      <c r="G173" s="114"/>
      <c r="I173" s="16" t="str">
        <f t="shared" si="0"/>
        <v xml:space="preserve">-- </v>
      </c>
    </row>
    <row r="174" spans="2:9">
      <c r="B174" s="74" t="s">
        <v>210</v>
      </c>
      <c r="C174" s="58"/>
      <c r="D174" s="111"/>
      <c r="E174" s="112"/>
      <c r="F174" s="113"/>
      <c r="G174" s="114"/>
      <c r="I174" s="16" t="str">
        <f t="shared" si="0"/>
        <v xml:space="preserve">-- </v>
      </c>
    </row>
    <row r="175" spans="2:9">
      <c r="B175" s="74" t="s">
        <v>211</v>
      </c>
      <c r="C175" s="58"/>
      <c r="D175" s="111"/>
      <c r="E175" s="112"/>
      <c r="F175" s="113"/>
      <c r="G175" s="114"/>
      <c r="I175" s="16" t="str">
        <f t="shared" si="0"/>
        <v xml:space="preserve">-- </v>
      </c>
    </row>
    <row r="176" spans="2:9">
      <c r="B176" s="74" t="s">
        <v>212</v>
      </c>
      <c r="C176" s="58"/>
      <c r="D176" s="111"/>
      <c r="E176" s="112"/>
      <c r="F176" s="113"/>
      <c r="G176" s="114"/>
      <c r="I176" s="16" t="str">
        <f t="shared" si="0"/>
        <v xml:space="preserve">-- </v>
      </c>
    </row>
    <row r="177" spans="2:9">
      <c r="B177" s="74" t="s">
        <v>213</v>
      </c>
      <c r="C177" s="58"/>
      <c r="D177" s="111"/>
      <c r="E177" s="112"/>
      <c r="F177" s="113"/>
      <c r="G177" s="114"/>
      <c r="I177" s="16" t="str">
        <f t="shared" si="0"/>
        <v xml:space="preserve">-- </v>
      </c>
    </row>
    <row r="178" spans="2:9">
      <c r="B178" s="74" t="s">
        <v>214</v>
      </c>
      <c r="C178" s="58"/>
      <c r="D178" s="111"/>
      <c r="E178" s="112"/>
      <c r="F178" s="113"/>
      <c r="G178" s="114"/>
      <c r="I178" s="16" t="str">
        <f t="shared" si="0"/>
        <v xml:space="preserve">-- </v>
      </c>
    </row>
    <row r="179" spans="2:9">
      <c r="B179" s="74" t="s">
        <v>215</v>
      </c>
      <c r="C179" s="58"/>
      <c r="D179" s="111"/>
      <c r="E179" s="112"/>
      <c r="F179" s="113"/>
      <c r="G179" s="114"/>
      <c r="I179" s="16" t="str">
        <f t="shared" si="0"/>
        <v xml:space="preserve">-- </v>
      </c>
    </row>
    <row r="180" spans="2:9">
      <c r="B180" s="74" t="s">
        <v>216</v>
      </c>
      <c r="C180" s="58"/>
      <c r="D180" s="111"/>
      <c r="E180" s="112"/>
      <c r="F180" s="113"/>
      <c r="G180" s="114"/>
      <c r="I180" s="16" t="str">
        <f t="shared" si="0"/>
        <v xml:space="preserve">-- </v>
      </c>
    </row>
    <row r="181" spans="2:9">
      <c r="B181" s="74" t="s">
        <v>217</v>
      </c>
      <c r="C181" s="58"/>
      <c r="D181" s="111"/>
      <c r="E181" s="112"/>
      <c r="F181" s="113"/>
      <c r="G181" s="114"/>
      <c r="I181" s="16" t="str">
        <f t="shared" si="0"/>
        <v xml:space="preserve">-- </v>
      </c>
    </row>
    <row r="182" spans="2:9">
      <c r="B182" s="74" t="s">
        <v>218</v>
      </c>
      <c r="C182" s="58"/>
      <c r="D182" s="111"/>
      <c r="E182" s="112"/>
      <c r="F182" s="113"/>
      <c r="G182" s="114"/>
      <c r="I182" s="16" t="str">
        <f t="shared" si="0"/>
        <v xml:space="preserve">-- </v>
      </c>
    </row>
    <row r="183" spans="2:9">
      <c r="B183" s="74" t="s">
        <v>219</v>
      </c>
      <c r="C183" s="58"/>
      <c r="D183" s="111"/>
      <c r="E183" s="112"/>
      <c r="F183" s="113"/>
      <c r="G183" s="114"/>
      <c r="I183" s="16" t="str">
        <f t="shared" si="0"/>
        <v xml:space="preserve">-- </v>
      </c>
    </row>
    <row r="184" spans="2:9">
      <c r="B184" s="74" t="s">
        <v>220</v>
      </c>
      <c r="C184" s="58"/>
      <c r="D184" s="111"/>
      <c r="E184" s="112"/>
      <c r="F184" s="113"/>
      <c r="G184" s="114"/>
      <c r="I184" s="16" t="str">
        <f t="shared" si="0"/>
        <v xml:space="preserve">-- </v>
      </c>
    </row>
    <row r="185" spans="2:9">
      <c r="B185" s="74" t="s">
        <v>221</v>
      </c>
      <c r="C185" s="58"/>
      <c r="D185" s="111"/>
      <c r="E185" s="112"/>
      <c r="F185" s="113"/>
      <c r="G185" s="114"/>
      <c r="I185" s="16" t="str">
        <f t="shared" si="0"/>
        <v xml:space="preserve">-- </v>
      </c>
    </row>
    <row r="186" spans="2:9">
      <c r="B186" s="74" t="s">
        <v>222</v>
      </c>
      <c r="C186" s="58"/>
      <c r="D186" s="111"/>
      <c r="E186" s="112"/>
      <c r="F186" s="113"/>
      <c r="G186" s="114"/>
      <c r="I186" s="16" t="str">
        <f t="shared" si="0"/>
        <v xml:space="preserve">-- </v>
      </c>
    </row>
    <row r="187" spans="2:9">
      <c r="B187" s="74" t="s">
        <v>223</v>
      </c>
      <c r="C187" s="58"/>
      <c r="D187" s="111"/>
      <c r="E187" s="112"/>
      <c r="F187" s="113"/>
      <c r="G187" s="114"/>
      <c r="I187" s="16" t="str">
        <f t="shared" si="0"/>
        <v xml:space="preserve">-- </v>
      </c>
    </row>
    <row r="188" spans="2:9">
      <c r="B188" s="74" t="s">
        <v>224</v>
      </c>
      <c r="C188" s="58"/>
      <c r="D188" s="111"/>
      <c r="E188" s="112"/>
      <c r="F188" s="113"/>
      <c r="G188" s="114"/>
      <c r="I188" s="16" t="str">
        <f t="shared" si="0"/>
        <v xml:space="preserve">-- </v>
      </c>
    </row>
    <row r="189" spans="2:9">
      <c r="B189" s="74" t="s">
        <v>225</v>
      </c>
      <c r="C189" s="58"/>
      <c r="D189" s="111"/>
      <c r="E189" s="112"/>
      <c r="F189" s="113"/>
      <c r="G189" s="114"/>
      <c r="I189" s="16" t="str">
        <f t="shared" si="0"/>
        <v xml:space="preserve">-- </v>
      </c>
    </row>
    <row r="190" spans="2:9">
      <c r="B190" s="74" t="s">
        <v>226</v>
      </c>
      <c r="C190" s="58"/>
      <c r="D190" s="111"/>
      <c r="E190" s="112"/>
      <c r="F190" s="113"/>
      <c r="G190" s="114"/>
      <c r="I190" s="16" t="str">
        <f t="shared" si="0"/>
        <v xml:space="preserve">-- </v>
      </c>
    </row>
    <row r="191" spans="2:9">
      <c r="B191" s="74" t="s">
        <v>227</v>
      </c>
      <c r="C191" s="58"/>
      <c r="D191" s="111"/>
      <c r="E191" s="112"/>
      <c r="F191" s="113"/>
      <c r="G191" s="114"/>
      <c r="I191" s="16" t="str">
        <f t="shared" si="0"/>
        <v xml:space="preserve">-- </v>
      </c>
    </row>
    <row r="192" spans="2:9">
      <c r="B192" s="74" t="s">
        <v>228</v>
      </c>
      <c r="C192" s="58"/>
      <c r="D192" s="111"/>
      <c r="E192" s="112"/>
      <c r="F192" s="113"/>
      <c r="G192" s="114"/>
      <c r="I192" s="16" t="str">
        <f t="shared" si="0"/>
        <v xml:space="preserve">-- </v>
      </c>
    </row>
    <row r="193" spans="2:9">
      <c r="B193" s="74" t="s">
        <v>229</v>
      </c>
      <c r="C193" s="58"/>
      <c r="D193" s="111"/>
      <c r="E193" s="112"/>
      <c r="F193" s="113"/>
      <c r="G193" s="114"/>
      <c r="I193" s="16" t="str">
        <f t="shared" si="0"/>
        <v xml:space="preserve">-- </v>
      </c>
    </row>
    <row r="194" spans="2:9">
      <c r="B194" s="74" t="s">
        <v>230</v>
      </c>
      <c r="C194" s="58"/>
      <c r="D194" s="111"/>
      <c r="E194" s="112"/>
      <c r="F194" s="113"/>
      <c r="G194" s="114"/>
      <c r="I194" s="16" t="str">
        <f t="shared" si="0"/>
        <v xml:space="preserve">-- </v>
      </c>
    </row>
    <row r="195" spans="2:9">
      <c r="B195" s="74" t="s">
        <v>231</v>
      </c>
      <c r="C195" s="58"/>
      <c r="D195" s="111"/>
      <c r="E195" s="112"/>
      <c r="F195" s="113"/>
      <c r="G195" s="114"/>
      <c r="I195" s="16" t="str">
        <f t="shared" si="0"/>
        <v xml:space="preserve">-- </v>
      </c>
    </row>
    <row r="196" spans="2:9">
      <c r="B196" s="74" t="s">
        <v>232</v>
      </c>
      <c r="C196" s="58"/>
      <c r="D196" s="111"/>
      <c r="E196" s="112"/>
      <c r="F196" s="113"/>
      <c r="G196" s="114"/>
      <c r="I196" s="16" t="str">
        <f t="shared" si="0"/>
        <v xml:space="preserve">-- </v>
      </c>
    </row>
    <row r="197" spans="2:9">
      <c r="B197" s="74" t="s">
        <v>233</v>
      </c>
      <c r="C197" s="58"/>
      <c r="D197" s="111"/>
      <c r="E197" s="112"/>
      <c r="F197" s="113"/>
      <c r="G197" s="114"/>
      <c r="I197" s="16" t="str">
        <f t="shared" si="0"/>
        <v xml:space="preserve">-- </v>
      </c>
    </row>
    <row r="198" spans="2:9">
      <c r="B198" s="74" t="s">
        <v>234</v>
      </c>
      <c r="C198" s="58"/>
      <c r="D198" s="111"/>
      <c r="E198" s="112"/>
      <c r="F198" s="113"/>
      <c r="G198" s="114"/>
      <c r="I198" s="16" t="str">
        <f t="shared" si="0"/>
        <v xml:space="preserve">-- </v>
      </c>
    </row>
    <row r="199" spans="2:9">
      <c r="B199" s="74" t="s">
        <v>235</v>
      </c>
      <c r="C199" s="58"/>
      <c r="D199" s="111"/>
      <c r="E199" s="112"/>
      <c r="F199" s="113"/>
      <c r="G199" s="114"/>
      <c r="I199" s="16" t="str">
        <f t="shared" ref="I199:I205" si="1">IF($C199="","-- ","COMMENT ON TABLE "&amp;LEFT($C199&amp;REPT(" ",30),30)&amp;" IS  '"&amp;(RIGHT(REPT("0",2)&amp;$B199,3)&amp;"."&amp;TRIM($D199)&amp;"';"))</f>
        <v xml:space="preserve">-- </v>
      </c>
    </row>
    <row r="200" spans="2:9">
      <c r="B200" s="74" t="s">
        <v>236</v>
      </c>
      <c r="C200" s="58"/>
      <c r="D200" s="111"/>
      <c r="E200" s="112"/>
      <c r="F200" s="113"/>
      <c r="G200" s="114"/>
      <c r="I200" s="16" t="str">
        <f t="shared" si="1"/>
        <v xml:space="preserve">-- </v>
      </c>
    </row>
    <row r="201" spans="2:9">
      <c r="B201" s="74" t="s">
        <v>237</v>
      </c>
      <c r="C201" s="58"/>
      <c r="D201" s="111"/>
      <c r="E201" s="112"/>
      <c r="F201" s="113"/>
      <c r="G201" s="114"/>
      <c r="I201" s="16" t="str">
        <f t="shared" si="1"/>
        <v xml:space="preserve">-- </v>
      </c>
    </row>
    <row r="202" spans="2:9">
      <c r="B202" s="74" t="s">
        <v>238</v>
      </c>
      <c r="C202" s="58"/>
      <c r="D202" s="111"/>
      <c r="E202" s="112"/>
      <c r="F202" s="113"/>
      <c r="G202" s="114"/>
      <c r="I202" s="16" t="str">
        <f t="shared" si="1"/>
        <v xml:space="preserve">-- </v>
      </c>
    </row>
    <row r="203" spans="2:9">
      <c r="B203" s="74" t="s">
        <v>239</v>
      </c>
      <c r="C203" s="58"/>
      <c r="D203" s="111"/>
      <c r="E203" s="112"/>
      <c r="F203" s="113"/>
      <c r="G203" s="114"/>
      <c r="I203" s="16" t="str">
        <f t="shared" si="1"/>
        <v xml:space="preserve">-- </v>
      </c>
    </row>
    <row r="204" spans="2:9">
      <c r="B204" s="74" t="s">
        <v>240</v>
      </c>
      <c r="C204" s="58"/>
      <c r="D204" s="111"/>
      <c r="E204" s="112"/>
      <c r="F204" s="113"/>
      <c r="G204" s="114"/>
      <c r="I204" s="16" t="str">
        <f t="shared" si="1"/>
        <v xml:space="preserve">-- </v>
      </c>
    </row>
    <row r="205" spans="2:9">
      <c r="B205" s="74" t="s">
        <v>241</v>
      </c>
      <c r="C205" s="58"/>
      <c r="D205" s="111"/>
      <c r="E205" s="112"/>
      <c r="F205" s="113"/>
      <c r="G205" s="114"/>
      <c r="I205" s="16" t="str">
        <f t="shared" si="1"/>
        <v xml:space="preserve">-- </v>
      </c>
    </row>
  </sheetData>
  <mergeCells count="405">
    <mergeCell ref="D200:E200"/>
    <mergeCell ref="D201:E201"/>
    <mergeCell ref="D202:E202"/>
    <mergeCell ref="D203:E203"/>
    <mergeCell ref="D204:E204"/>
    <mergeCell ref="D205:E2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99:E199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90:E190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81:E181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72:E172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F205:G205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B2:G2"/>
    <mergeCell ref="F8:G8"/>
    <mergeCell ref="F10:G10"/>
    <mergeCell ref="F11:G11"/>
    <mergeCell ref="F18:G18"/>
    <mergeCell ref="B4:C4"/>
    <mergeCell ref="D5:E5"/>
    <mergeCell ref="D6:E6"/>
    <mergeCell ref="D7:E7"/>
    <mergeCell ref="D8:E8"/>
    <mergeCell ref="D9:E9"/>
    <mergeCell ref="D10:E10"/>
    <mergeCell ref="D33:E33"/>
    <mergeCell ref="F20:G20"/>
    <mergeCell ref="F9:G9"/>
    <mergeCell ref="B3:C3"/>
    <mergeCell ref="F5:G5"/>
    <mergeCell ref="F6:G6"/>
    <mergeCell ref="F7:G7"/>
    <mergeCell ref="F12:G12"/>
    <mergeCell ref="F13:G13"/>
    <mergeCell ref="F14:G14"/>
    <mergeCell ref="F15:G15"/>
    <mergeCell ref="D19:E19"/>
    <mergeCell ref="D11:E11"/>
    <mergeCell ref="D12:E12"/>
    <mergeCell ref="D13:E13"/>
    <mergeCell ref="D14:E14"/>
    <mergeCell ref="D15:E15"/>
    <mergeCell ref="F19:G19"/>
    <mergeCell ref="F16:G16"/>
    <mergeCell ref="F17:G17"/>
    <mergeCell ref="D17:E17"/>
    <mergeCell ref="D18:E18"/>
    <mergeCell ref="D16:E16"/>
    <mergeCell ref="F30:G30"/>
    <mergeCell ref="F31:G31"/>
    <mergeCell ref="F32:G32"/>
    <mergeCell ref="F33:G33"/>
    <mergeCell ref="F34:G34"/>
    <mergeCell ref="F35:G35"/>
    <mergeCell ref="F36:G36"/>
    <mergeCell ref="F37:G37"/>
    <mergeCell ref="F24:G24"/>
    <mergeCell ref="F25:G25"/>
    <mergeCell ref="F26:G26"/>
    <mergeCell ref="F27:G27"/>
    <mergeCell ref="F28:G28"/>
    <mergeCell ref="F48:G48"/>
    <mergeCell ref="F49:G49"/>
    <mergeCell ref="F50:G50"/>
    <mergeCell ref="F51:G51"/>
    <mergeCell ref="F42:G42"/>
    <mergeCell ref="F43:G43"/>
    <mergeCell ref="F44:G44"/>
    <mergeCell ref="F45:G45"/>
    <mergeCell ref="F46:G46"/>
    <mergeCell ref="F47:G47"/>
    <mergeCell ref="F39:G39"/>
    <mergeCell ref="F40:G40"/>
    <mergeCell ref="F41:G41"/>
    <mergeCell ref="F38:G38"/>
    <mergeCell ref="D20:E20"/>
    <mergeCell ref="D21:E21"/>
    <mergeCell ref="D22:E22"/>
    <mergeCell ref="D23:E23"/>
    <mergeCell ref="D24:E24"/>
    <mergeCell ref="D29:E29"/>
    <mergeCell ref="D30:E30"/>
    <mergeCell ref="D31:E31"/>
    <mergeCell ref="D32:E32"/>
    <mergeCell ref="D41:E41"/>
    <mergeCell ref="F21:G21"/>
    <mergeCell ref="F22:G22"/>
    <mergeCell ref="F23:G23"/>
    <mergeCell ref="D36:E36"/>
    <mergeCell ref="D37:E37"/>
    <mergeCell ref="D28:E28"/>
    <mergeCell ref="D25:E25"/>
    <mergeCell ref="D26:E26"/>
    <mergeCell ref="D27:E27"/>
    <mergeCell ref="F29:G29"/>
    <mergeCell ref="D42:E42"/>
    <mergeCell ref="D34:E34"/>
    <mergeCell ref="D35:E35"/>
    <mergeCell ref="D38:E38"/>
    <mergeCell ref="D39:E39"/>
    <mergeCell ref="D40:E40"/>
    <mergeCell ref="D51:E51"/>
    <mergeCell ref="D43:E43"/>
    <mergeCell ref="D46:E46"/>
    <mergeCell ref="D47:E47"/>
    <mergeCell ref="D48:E48"/>
    <mergeCell ref="D49:E49"/>
    <mergeCell ref="D50:E50"/>
    <mergeCell ref="D44:E44"/>
    <mergeCell ref="D45:E45"/>
    <mergeCell ref="D55:E55"/>
    <mergeCell ref="F55:G55"/>
    <mergeCell ref="D56:E56"/>
    <mergeCell ref="F56:G56"/>
    <mergeCell ref="D57:E57"/>
    <mergeCell ref="F57:G57"/>
    <mergeCell ref="D52:E52"/>
    <mergeCell ref="F52:G52"/>
    <mergeCell ref="D53:E53"/>
    <mergeCell ref="F53:G53"/>
    <mergeCell ref="D54:E54"/>
    <mergeCell ref="F54:G54"/>
    <mergeCell ref="D61:E61"/>
    <mergeCell ref="F61:G61"/>
    <mergeCell ref="D62:E62"/>
    <mergeCell ref="F62:G62"/>
    <mergeCell ref="D63:E63"/>
    <mergeCell ref="F63:G63"/>
    <mergeCell ref="D58:E58"/>
    <mergeCell ref="F58:G58"/>
    <mergeCell ref="D59:E59"/>
    <mergeCell ref="F59:G59"/>
    <mergeCell ref="D60:E60"/>
    <mergeCell ref="F60:G60"/>
    <mergeCell ref="D67:E67"/>
    <mergeCell ref="F67:G67"/>
    <mergeCell ref="D68:E68"/>
    <mergeCell ref="F68:G68"/>
    <mergeCell ref="D69:E69"/>
    <mergeCell ref="F69:G69"/>
    <mergeCell ref="D64:E64"/>
    <mergeCell ref="F64:G64"/>
    <mergeCell ref="D65:E65"/>
    <mergeCell ref="F65:G65"/>
    <mergeCell ref="D66:E66"/>
    <mergeCell ref="F66:G66"/>
    <mergeCell ref="D73:E73"/>
    <mergeCell ref="F73:G73"/>
    <mergeCell ref="D74:E74"/>
    <mergeCell ref="F74:G74"/>
    <mergeCell ref="D75:E75"/>
    <mergeCell ref="F75:G75"/>
    <mergeCell ref="D70:E70"/>
    <mergeCell ref="F70:G70"/>
    <mergeCell ref="D71:E71"/>
    <mergeCell ref="F71:G71"/>
    <mergeCell ref="D72:E72"/>
    <mergeCell ref="F72:G72"/>
    <mergeCell ref="D79:E79"/>
    <mergeCell ref="F79:G79"/>
    <mergeCell ref="D80:E80"/>
    <mergeCell ref="F80:G80"/>
    <mergeCell ref="D81:E81"/>
    <mergeCell ref="F81:G81"/>
    <mergeCell ref="D76:E76"/>
    <mergeCell ref="F76:G76"/>
    <mergeCell ref="D77:E77"/>
    <mergeCell ref="F77:G77"/>
    <mergeCell ref="D78:E78"/>
    <mergeCell ref="F78:G78"/>
    <mergeCell ref="D85:E85"/>
    <mergeCell ref="F85:G85"/>
    <mergeCell ref="D86:E86"/>
    <mergeCell ref="F86:G86"/>
    <mergeCell ref="D87:E87"/>
    <mergeCell ref="F87:G87"/>
    <mergeCell ref="D82:E82"/>
    <mergeCell ref="F82:G82"/>
    <mergeCell ref="D83:E83"/>
    <mergeCell ref="F83:G83"/>
    <mergeCell ref="D84:E84"/>
    <mergeCell ref="F84:G84"/>
    <mergeCell ref="D91:E91"/>
    <mergeCell ref="F91:G91"/>
    <mergeCell ref="D92:E92"/>
    <mergeCell ref="F92:G92"/>
    <mergeCell ref="D93:E93"/>
    <mergeCell ref="F93:G93"/>
    <mergeCell ref="D88:E88"/>
    <mergeCell ref="F88:G88"/>
    <mergeCell ref="D89:E89"/>
    <mergeCell ref="F89:G89"/>
    <mergeCell ref="D90:E90"/>
    <mergeCell ref="F90:G90"/>
    <mergeCell ref="D97:E97"/>
    <mergeCell ref="F97:G97"/>
    <mergeCell ref="D98:E98"/>
    <mergeCell ref="F98:G98"/>
    <mergeCell ref="D99:E99"/>
    <mergeCell ref="F99:G99"/>
    <mergeCell ref="D94:E94"/>
    <mergeCell ref="F94:G94"/>
    <mergeCell ref="D95:E95"/>
    <mergeCell ref="F95:G95"/>
    <mergeCell ref="D96:E96"/>
    <mergeCell ref="F96:G96"/>
    <mergeCell ref="D103:E103"/>
    <mergeCell ref="F103:G103"/>
    <mergeCell ref="D104:E104"/>
    <mergeCell ref="F104:G104"/>
    <mergeCell ref="D105:E105"/>
    <mergeCell ref="F105:G105"/>
    <mergeCell ref="D100:E100"/>
    <mergeCell ref="F100:G100"/>
    <mergeCell ref="D101:E101"/>
    <mergeCell ref="F101:G101"/>
    <mergeCell ref="D102:E102"/>
    <mergeCell ref="F102:G102"/>
  </mergeCells>
  <phoneticPr fontId="6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Normal="100" zoomScaleSheetLayoutView="100" workbookViewId="0">
      <selection activeCell="B4" sqref="B4"/>
    </sheetView>
  </sheetViews>
  <sheetFormatPr defaultColWidth="9.375" defaultRowHeight="10.8"/>
  <cols>
    <col min="1" max="1" width="4.625" style="60" customWidth="1"/>
    <col min="2" max="2" width="25.875" style="60" customWidth="1"/>
    <col min="3" max="3" width="13" style="60" customWidth="1"/>
    <col min="4" max="4" width="65" style="60" bestFit="1" customWidth="1"/>
    <col min="5" max="5" width="14.875" style="60" bestFit="1" customWidth="1"/>
    <col min="6" max="6" width="0.625" style="60" customWidth="1"/>
    <col min="7" max="16384" width="9.375" style="60"/>
  </cols>
  <sheetData>
    <row r="1" spans="1:7" ht="33.75" customHeight="1"/>
    <row r="2" spans="1:7" s="70" customFormat="1" ht="9.6">
      <c r="B2" s="71" t="s">
        <v>265</v>
      </c>
      <c r="C2" s="71" t="s">
        <v>266</v>
      </c>
      <c r="D2" s="71" t="s">
        <v>267</v>
      </c>
      <c r="E2" s="71" t="s">
        <v>268</v>
      </c>
    </row>
    <row r="3" spans="1:7" s="70" customFormat="1">
      <c r="A3" s="72">
        <v>1</v>
      </c>
      <c r="B3" s="19" t="str">
        <f>("idx_"&amp;C3&amp;"_seq_"&amp;RIGHT("0"&amp;A3,2))</f>
        <v>idx_GMP_CM_ZIN_T_seq_01</v>
      </c>
      <c r="C3" s="19" t="s">
        <v>663</v>
      </c>
      <c r="D3" s="2" t="s">
        <v>269</v>
      </c>
      <c r="E3" s="35" t="str">
        <f>시스템정보!$B$13</f>
        <v>IXGMP01</v>
      </c>
      <c r="G3" s="70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>CREATE INDEX idx_GMP_CM_ZIN_T_seq_01 ON GMP_CM_ZIN_T(CTPRVN_SE,RN,EUPMYUN) TABLESPACE IXGMP01 PCTFREE 10 INITRANS 2 MAXTRANS 255 STORAGE (INITIAL 1M NEXT 1M MINEXTENTS 1 MAXEXTENTS 505 PCTINCREASE 0);</v>
      </c>
    </row>
    <row r="4" spans="1:7" s="70" customFormat="1">
      <c r="A4" s="72">
        <v>2</v>
      </c>
      <c r="B4" s="35"/>
      <c r="C4" s="35"/>
      <c r="D4" s="45"/>
      <c r="E4" s="35"/>
      <c r="G4" s="70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72">
        <v>3</v>
      </c>
      <c r="B5" s="35"/>
      <c r="C5" s="35"/>
      <c r="D5" s="35"/>
      <c r="E5" s="35"/>
      <c r="G5" s="70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72">
        <v>4</v>
      </c>
      <c r="B6" s="35"/>
      <c r="C6" s="35"/>
      <c r="D6" s="35"/>
      <c r="E6" s="35"/>
      <c r="G6" s="70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72">
        <v>5</v>
      </c>
      <c r="B7" s="35"/>
      <c r="C7" s="35"/>
      <c r="D7" s="35"/>
      <c r="E7" s="35"/>
      <c r="G7" s="70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72">
        <v>6</v>
      </c>
      <c r="B8" s="35"/>
      <c r="C8" s="35"/>
      <c r="D8" s="35"/>
      <c r="E8" s="35"/>
      <c r="G8" s="70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72">
        <v>7</v>
      </c>
      <c r="B9" s="35"/>
      <c r="C9" s="35"/>
      <c r="D9" s="35"/>
      <c r="E9" s="35"/>
      <c r="G9" s="70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72">
        <v>8</v>
      </c>
      <c r="B10" s="35"/>
      <c r="C10" s="35"/>
      <c r="D10" s="35"/>
      <c r="E10" s="35"/>
      <c r="G10" s="70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72">
        <v>9</v>
      </c>
      <c r="B11" s="35"/>
      <c r="C11" s="35"/>
      <c r="D11" s="35"/>
      <c r="E11" s="35"/>
      <c r="G11" s="70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72">
        <v>10</v>
      </c>
      <c r="B12" s="35"/>
      <c r="C12" s="35"/>
      <c r="D12" s="35"/>
      <c r="E12" s="35"/>
      <c r="G12" s="70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72">
        <v>11</v>
      </c>
      <c r="B13" s="35"/>
      <c r="C13" s="35"/>
      <c r="D13" s="35"/>
      <c r="E13" s="35"/>
      <c r="G13" s="70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72">
        <v>12</v>
      </c>
      <c r="B14" s="35"/>
      <c r="C14" s="35"/>
      <c r="D14" s="35"/>
      <c r="E14" s="35"/>
      <c r="G14" s="70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72">
        <v>13</v>
      </c>
      <c r="B15" s="35"/>
      <c r="C15" s="35"/>
      <c r="D15" s="35"/>
      <c r="E15" s="35"/>
      <c r="G15" s="70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72">
        <v>14</v>
      </c>
      <c r="B16" s="35"/>
      <c r="C16" s="35"/>
      <c r="D16" s="35"/>
      <c r="E16" s="35"/>
      <c r="G16" s="70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72">
        <v>15</v>
      </c>
      <c r="B17" s="35"/>
      <c r="C17" s="35"/>
      <c r="D17" s="35"/>
      <c r="E17" s="35"/>
      <c r="G17" s="70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72">
        <v>16</v>
      </c>
      <c r="B18" s="35"/>
      <c r="C18" s="35"/>
      <c r="D18" s="35"/>
      <c r="E18" s="35"/>
      <c r="G18" s="70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72">
        <v>17</v>
      </c>
      <c r="B19" s="35"/>
      <c r="C19" s="35"/>
      <c r="D19" s="35"/>
      <c r="E19" s="35"/>
      <c r="G19" s="70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72">
        <v>18</v>
      </c>
      <c r="B20" s="35"/>
      <c r="C20" s="35"/>
      <c r="D20" s="35"/>
      <c r="E20" s="35"/>
      <c r="G20" s="70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72">
        <v>19</v>
      </c>
      <c r="B21" s="35"/>
      <c r="C21" s="35"/>
      <c r="D21" s="35"/>
      <c r="E21" s="35"/>
      <c r="G21" s="70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72">
        <v>20</v>
      </c>
      <c r="B22" s="35"/>
      <c r="C22" s="35"/>
      <c r="D22" s="35"/>
      <c r="E22" s="35"/>
      <c r="G22" s="70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72">
        <v>21</v>
      </c>
      <c r="B23" s="35"/>
      <c r="C23" s="35"/>
      <c r="D23" s="35"/>
      <c r="E23" s="35"/>
      <c r="G23" s="70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72">
        <v>22</v>
      </c>
      <c r="B24" s="35"/>
      <c r="C24" s="35"/>
      <c r="D24" s="35"/>
      <c r="E24" s="35"/>
      <c r="G24" s="70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72">
        <v>23</v>
      </c>
      <c r="B25" s="35"/>
      <c r="C25" s="35"/>
      <c r="D25" s="35"/>
      <c r="E25" s="35"/>
      <c r="G25" s="70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72">
        <v>24</v>
      </c>
      <c r="B26" s="35"/>
      <c r="C26" s="35"/>
      <c r="D26" s="35"/>
      <c r="E26" s="35"/>
      <c r="G26" s="70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72">
        <v>25</v>
      </c>
      <c r="B27" s="35"/>
      <c r="C27" s="35"/>
      <c r="D27" s="35"/>
      <c r="E27" s="35"/>
      <c r="G27" s="70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72">
        <v>26</v>
      </c>
      <c r="B28" s="35"/>
      <c r="C28" s="35"/>
      <c r="D28" s="35"/>
      <c r="E28" s="35"/>
      <c r="G28" s="70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72">
        <v>27</v>
      </c>
      <c r="B29" s="35"/>
      <c r="C29" s="35"/>
      <c r="D29" s="35"/>
      <c r="E29" s="35"/>
      <c r="G29" s="70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72">
        <v>28</v>
      </c>
      <c r="B30" s="35"/>
      <c r="C30" s="35"/>
      <c r="D30" s="35"/>
      <c r="E30" s="35"/>
      <c r="G30" s="70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72">
        <v>29</v>
      </c>
      <c r="B31" s="35"/>
      <c r="C31" s="35"/>
      <c r="D31" s="35"/>
      <c r="E31" s="35"/>
      <c r="G31" s="70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72">
        <v>30</v>
      </c>
      <c r="B32" s="35"/>
      <c r="C32" s="35"/>
      <c r="D32" s="35"/>
      <c r="E32" s="35"/>
      <c r="G32" s="70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72">
        <v>31</v>
      </c>
      <c r="B33" s="35"/>
      <c r="C33" s="35"/>
      <c r="D33" s="35"/>
      <c r="E33" s="35"/>
      <c r="G33" s="70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72">
        <v>32</v>
      </c>
      <c r="B34" s="35"/>
      <c r="C34" s="35"/>
      <c r="D34" s="35"/>
      <c r="E34" s="35"/>
      <c r="G34" s="70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72">
        <v>33</v>
      </c>
      <c r="B35" s="35"/>
      <c r="C35" s="35"/>
      <c r="D35" s="35"/>
      <c r="E35" s="35"/>
      <c r="G35" s="70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72">
        <v>34</v>
      </c>
      <c r="B36" s="35"/>
      <c r="C36" s="35"/>
      <c r="D36" s="35"/>
      <c r="E36" s="35"/>
      <c r="G36" s="70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72">
        <v>35</v>
      </c>
      <c r="B37" s="35"/>
      <c r="C37" s="35"/>
      <c r="D37" s="35"/>
      <c r="E37" s="35"/>
      <c r="G37" s="70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72">
        <v>36</v>
      </c>
      <c r="B38" s="35"/>
      <c r="C38" s="35"/>
      <c r="D38" s="35"/>
      <c r="E38" s="35"/>
      <c r="G38" s="70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72">
        <v>37</v>
      </c>
      <c r="B39" s="35"/>
      <c r="C39" s="35"/>
      <c r="D39" s="35"/>
      <c r="E39" s="35"/>
      <c r="G39" s="70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72">
        <v>38</v>
      </c>
      <c r="B40" s="35"/>
      <c r="C40" s="35"/>
      <c r="D40" s="35"/>
      <c r="E40" s="35"/>
      <c r="G40" s="70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60" t="s">
        <v>270</v>
      </c>
      <c r="G41" s="70"/>
    </row>
  </sheetData>
  <phoneticPr fontId="6" type="noConversion"/>
  <pageMargins left="0.75" right="0.75" top="1" bottom="1" header="0.5" footer="0.5"/>
  <pageSetup paperSize="9" scale="90" orientation="portrait" r:id="rId1"/>
  <headerFooter alignWithMargins="0"/>
  <colBreaks count="1" manualBreakCount="1">
    <brk id="5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Normal="100" zoomScaleSheetLayoutView="100" workbookViewId="0">
      <selection activeCell="K12" sqref="K12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26" t="s">
        <v>79</v>
      </c>
      <c r="B1" s="127"/>
      <c r="C1" s="127"/>
      <c r="D1" s="127"/>
      <c r="E1" s="128"/>
      <c r="I1" s="63"/>
      <c r="J1" s="63"/>
    </row>
    <row r="2" spans="1:12" s="16" customFormat="1">
      <c r="A2" s="117" t="s">
        <v>7</v>
      </c>
      <c r="B2" s="134"/>
      <c r="C2" s="131" t="str">
        <f>시스템정보!B2</f>
        <v>일대일거래APP</v>
      </c>
      <c r="D2" s="132"/>
      <c r="E2" s="133"/>
      <c r="I2" s="63"/>
      <c r="J2" s="63"/>
    </row>
    <row r="3" spans="1:12" s="16" customFormat="1">
      <c r="A3" s="129"/>
      <c r="B3" s="4" t="s">
        <v>9</v>
      </c>
      <c r="C3" s="64" t="s">
        <v>263</v>
      </c>
      <c r="D3" s="4" t="s">
        <v>11</v>
      </c>
      <c r="E3" s="19" t="s">
        <v>631</v>
      </c>
      <c r="I3" s="63"/>
      <c r="J3" s="63"/>
    </row>
    <row r="4" spans="1:12" s="16" customFormat="1">
      <c r="A4" s="130"/>
      <c r="B4" s="4" t="s">
        <v>10</v>
      </c>
      <c r="C4" s="64" t="s">
        <v>263</v>
      </c>
      <c r="D4" s="4" t="s">
        <v>18</v>
      </c>
      <c r="E4" s="19" t="s">
        <v>631</v>
      </c>
      <c r="I4" s="63"/>
      <c r="J4" s="63"/>
    </row>
    <row r="5" spans="1:12" s="11" customFormat="1" ht="21.6">
      <c r="A5" s="65" t="s">
        <v>78</v>
      </c>
      <c r="B5" s="65" t="s">
        <v>19</v>
      </c>
      <c r="C5" s="65" t="s">
        <v>20</v>
      </c>
      <c r="D5" s="65" t="s">
        <v>76</v>
      </c>
      <c r="E5" s="66" t="s">
        <v>137</v>
      </c>
      <c r="F5" s="9" t="s">
        <v>139</v>
      </c>
      <c r="G5" s="9" t="s">
        <v>140</v>
      </c>
      <c r="H5" s="9" t="s">
        <v>21</v>
      </c>
      <c r="I5" s="9" t="s">
        <v>22</v>
      </c>
      <c r="J5" s="9" t="s">
        <v>23</v>
      </c>
      <c r="K5" s="9" t="s">
        <v>75</v>
      </c>
      <c r="L5" s="10" t="s">
        <v>74</v>
      </c>
    </row>
    <row r="6" spans="1:12">
      <c r="A6" s="15">
        <v>1</v>
      </c>
      <c r="B6" s="6"/>
      <c r="C6" s="67"/>
      <c r="D6" s="67"/>
      <c r="E6" s="68"/>
      <c r="F6" s="3">
        <v>1</v>
      </c>
      <c r="G6" s="3">
        <v>1</v>
      </c>
      <c r="H6" s="3" t="s">
        <v>77</v>
      </c>
      <c r="I6" s="3" t="s">
        <v>73</v>
      </c>
      <c r="J6" s="3" t="s">
        <v>77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67"/>
      <c r="D7" s="67"/>
      <c r="E7" s="68"/>
      <c r="F7" s="3">
        <v>1</v>
      </c>
      <c r="G7" s="3">
        <v>1</v>
      </c>
      <c r="H7" s="3" t="s">
        <v>77</v>
      </c>
      <c r="I7" s="3" t="s">
        <v>73</v>
      </c>
      <c r="J7" s="3" t="s">
        <v>77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67"/>
      <c r="D8" s="67"/>
      <c r="E8" s="68"/>
      <c r="F8" s="3">
        <v>1</v>
      </c>
      <c r="G8" s="3">
        <v>1</v>
      </c>
      <c r="H8" s="3" t="s">
        <v>77</v>
      </c>
      <c r="I8" s="3" t="s">
        <v>73</v>
      </c>
      <c r="J8" s="3" t="s">
        <v>77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5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5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5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68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68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69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67"/>
      <c r="E17" s="37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67"/>
      <c r="E18" s="37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69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5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5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6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  <colBreaks count="1" manualBreakCount="1">
    <brk id="5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355"/>
  <sheetViews>
    <sheetView workbookViewId="0">
      <pane ySplit="1" topLeftCell="A198" activePane="bottomLeft" state="frozen"/>
      <selection activeCell="C25" sqref="C25"/>
      <selection pane="bottomLeft" activeCell="C25" sqref="C25"/>
    </sheetView>
  </sheetViews>
  <sheetFormatPr defaultColWidth="9.375" defaultRowHeight="10.8"/>
  <cols>
    <col min="1" max="1" width="29.125" style="60" bestFit="1" customWidth="1"/>
    <col min="2" max="2" width="24.875" style="60" customWidth="1"/>
    <col min="3" max="3" width="27.875" style="60" customWidth="1"/>
    <col min="4" max="4" width="9.375" style="60" customWidth="1"/>
    <col min="5" max="16384" width="9.375" style="60"/>
  </cols>
  <sheetData>
    <row r="1" spans="1:14" ht="42.75" customHeight="1">
      <c r="A1" s="62" t="s">
        <v>271</v>
      </c>
      <c r="N1" s="47"/>
    </row>
    <row r="3" spans="1:14">
      <c r="A3" s="60" t="s">
        <v>277</v>
      </c>
    </row>
    <row r="4" spans="1:14">
      <c r="A4" s="60" t="s">
        <v>278</v>
      </c>
    </row>
    <row r="5" spans="1:14">
      <c r="A5" s="60" t="s">
        <v>279</v>
      </c>
    </row>
    <row r="6" spans="1:14">
      <c r="A6" s="60" t="s">
        <v>280</v>
      </c>
    </row>
    <row r="7" spans="1:14">
      <c r="A7" s="60" t="s">
        <v>281</v>
      </c>
    </row>
    <row r="8" spans="1:14">
      <c r="A8" s="60" t="s">
        <v>282</v>
      </c>
    </row>
    <row r="9" spans="1:14">
      <c r="A9" s="60" t="s">
        <v>283</v>
      </c>
    </row>
    <row r="10" spans="1:14">
      <c r="A10" s="60" t="s">
        <v>284</v>
      </c>
    </row>
    <row r="11" spans="1:14">
      <c r="A11" s="60" t="s">
        <v>285</v>
      </c>
    </row>
    <row r="12" spans="1:14">
      <c r="A12" s="60" t="s">
        <v>286</v>
      </c>
    </row>
    <row r="13" spans="1:14">
      <c r="A13" s="60" t="s">
        <v>287</v>
      </c>
    </row>
    <row r="14" spans="1:14">
      <c r="A14" s="60" t="s">
        <v>288</v>
      </c>
    </row>
    <row r="15" spans="1:14">
      <c r="A15" s="60" t="s">
        <v>289</v>
      </c>
    </row>
    <row r="16" spans="1:14">
      <c r="A16" s="60" t="s">
        <v>290</v>
      </c>
    </row>
    <row r="17" spans="1:1">
      <c r="A17" s="60" t="s">
        <v>291</v>
      </c>
    </row>
    <row r="18" spans="1:1">
      <c r="A18" s="60" t="s">
        <v>292</v>
      </c>
    </row>
    <row r="19" spans="1:1">
      <c r="A19" s="60" t="s">
        <v>293</v>
      </c>
    </row>
    <row r="20" spans="1:1">
      <c r="A20" s="60" t="s">
        <v>294</v>
      </c>
    </row>
    <row r="21" spans="1:1">
      <c r="A21" s="60" t="s">
        <v>295</v>
      </c>
    </row>
    <row r="22" spans="1:1">
      <c r="A22" s="60" t="s">
        <v>296</v>
      </c>
    </row>
    <row r="23" spans="1:1">
      <c r="A23" s="60" t="s">
        <v>297</v>
      </c>
    </row>
    <row r="24" spans="1:1">
      <c r="A24" s="60" t="s">
        <v>298</v>
      </c>
    </row>
    <row r="25" spans="1:1">
      <c r="A25" s="60" t="s">
        <v>299</v>
      </c>
    </row>
    <row r="26" spans="1:1">
      <c r="A26" s="60" t="s">
        <v>300</v>
      </c>
    </row>
    <row r="27" spans="1:1">
      <c r="A27" s="60" t="s">
        <v>301</v>
      </c>
    </row>
    <row r="28" spans="1:1">
      <c r="A28" s="60" t="s">
        <v>302</v>
      </c>
    </row>
    <row r="29" spans="1:1">
      <c r="A29" s="60" t="s">
        <v>303</v>
      </c>
    </row>
    <row r="30" spans="1:1">
      <c r="A30" s="60" t="s">
        <v>304</v>
      </c>
    </row>
    <row r="31" spans="1:1">
      <c r="A31" s="60" t="s">
        <v>305</v>
      </c>
    </row>
    <row r="32" spans="1:1">
      <c r="A32" s="60" t="s">
        <v>306</v>
      </c>
    </row>
    <row r="33" spans="1:1">
      <c r="A33" s="60" t="s">
        <v>307</v>
      </c>
    </row>
    <row r="34" spans="1:1">
      <c r="A34" s="60" t="s">
        <v>308</v>
      </c>
    </row>
    <row r="35" spans="1:1">
      <c r="A35" s="60" t="s">
        <v>309</v>
      </c>
    </row>
    <row r="36" spans="1:1">
      <c r="A36" s="60" t="s">
        <v>310</v>
      </c>
    </row>
    <row r="37" spans="1:1">
      <c r="A37" s="60" t="s">
        <v>311</v>
      </c>
    </row>
    <row r="38" spans="1:1">
      <c r="A38" s="60" t="s">
        <v>312</v>
      </c>
    </row>
    <row r="39" spans="1:1">
      <c r="A39" s="60" t="s">
        <v>313</v>
      </c>
    </row>
    <row r="40" spans="1:1">
      <c r="A40" s="60" t="s">
        <v>314</v>
      </c>
    </row>
    <row r="41" spans="1:1">
      <c r="A41" s="60" t="s">
        <v>315</v>
      </c>
    </row>
    <row r="42" spans="1:1">
      <c r="A42" s="60" t="s">
        <v>316</v>
      </c>
    </row>
    <row r="43" spans="1:1">
      <c r="A43" s="60" t="s">
        <v>317</v>
      </c>
    </row>
    <row r="44" spans="1:1">
      <c r="A44" s="60" t="s">
        <v>318</v>
      </c>
    </row>
    <row r="45" spans="1:1">
      <c r="A45" s="60" t="s">
        <v>319</v>
      </c>
    </row>
    <row r="46" spans="1:1">
      <c r="A46" s="60" t="s">
        <v>320</v>
      </c>
    </row>
    <row r="47" spans="1:1">
      <c r="A47" s="60" t="s">
        <v>321</v>
      </c>
    </row>
    <row r="48" spans="1:1">
      <c r="A48" s="60" t="s">
        <v>322</v>
      </c>
    </row>
    <row r="49" spans="1:1">
      <c r="A49" s="60" t="s">
        <v>323</v>
      </c>
    </row>
    <row r="50" spans="1:1">
      <c r="A50" s="60" t="s">
        <v>324</v>
      </c>
    </row>
    <row r="51" spans="1:1">
      <c r="A51" s="60" t="s">
        <v>325</v>
      </c>
    </row>
    <row r="52" spans="1:1">
      <c r="A52" s="60" t="s">
        <v>326</v>
      </c>
    </row>
    <row r="53" spans="1:1">
      <c r="A53" s="60" t="s">
        <v>327</v>
      </c>
    </row>
    <row r="54" spans="1:1">
      <c r="A54" s="60" t="s">
        <v>328</v>
      </c>
    </row>
    <row r="55" spans="1:1">
      <c r="A55" s="60" t="s">
        <v>329</v>
      </c>
    </row>
    <row r="56" spans="1:1">
      <c r="A56" s="60" t="s">
        <v>330</v>
      </c>
    </row>
    <row r="57" spans="1:1">
      <c r="A57" s="60" t="s">
        <v>331</v>
      </c>
    </row>
    <row r="58" spans="1:1">
      <c r="A58" s="60" t="s">
        <v>332</v>
      </c>
    </row>
    <row r="59" spans="1:1">
      <c r="A59" s="60" t="s">
        <v>333</v>
      </c>
    </row>
    <row r="60" spans="1:1">
      <c r="A60" s="60" t="s">
        <v>334</v>
      </c>
    </row>
    <row r="61" spans="1:1">
      <c r="A61" s="60" t="s">
        <v>335</v>
      </c>
    </row>
    <row r="62" spans="1:1">
      <c r="A62" s="60" t="s">
        <v>336</v>
      </c>
    </row>
    <row r="63" spans="1:1">
      <c r="A63" s="60" t="s">
        <v>337</v>
      </c>
    </row>
    <row r="64" spans="1:1">
      <c r="A64" s="60" t="s">
        <v>338</v>
      </c>
    </row>
    <row r="65" spans="1:1">
      <c r="A65" s="60" t="s">
        <v>339</v>
      </c>
    </row>
    <row r="66" spans="1:1">
      <c r="A66" s="60" t="s">
        <v>340</v>
      </c>
    </row>
    <row r="67" spans="1:1">
      <c r="A67" s="60" t="s">
        <v>341</v>
      </c>
    </row>
    <row r="68" spans="1:1">
      <c r="A68" s="60" t="s">
        <v>342</v>
      </c>
    </row>
    <row r="69" spans="1:1">
      <c r="A69" s="60" t="s">
        <v>343</v>
      </c>
    </row>
    <row r="70" spans="1:1">
      <c r="A70" s="60" t="s">
        <v>344</v>
      </c>
    </row>
    <row r="71" spans="1:1">
      <c r="A71" s="60" t="s">
        <v>345</v>
      </c>
    </row>
    <row r="72" spans="1:1">
      <c r="A72" s="60" t="s">
        <v>346</v>
      </c>
    </row>
    <row r="73" spans="1:1">
      <c r="A73" s="60" t="s">
        <v>347</v>
      </c>
    </row>
    <row r="74" spans="1:1">
      <c r="A74" s="60" t="s">
        <v>348</v>
      </c>
    </row>
    <row r="75" spans="1:1">
      <c r="A75" s="60" t="s">
        <v>349</v>
      </c>
    </row>
    <row r="76" spans="1:1">
      <c r="A76" s="60" t="s">
        <v>350</v>
      </c>
    </row>
    <row r="77" spans="1:1">
      <c r="A77" s="60" t="s">
        <v>351</v>
      </c>
    </row>
    <row r="78" spans="1:1">
      <c r="A78" s="60" t="s">
        <v>352</v>
      </c>
    </row>
    <row r="79" spans="1:1">
      <c r="A79" s="60" t="s">
        <v>353</v>
      </c>
    </row>
    <row r="80" spans="1:1">
      <c r="A80" s="60" t="s">
        <v>354</v>
      </c>
    </row>
    <row r="81" spans="1:1">
      <c r="A81" s="60" t="s">
        <v>355</v>
      </c>
    </row>
    <row r="82" spans="1:1">
      <c r="A82" s="60" t="s">
        <v>356</v>
      </c>
    </row>
    <row r="83" spans="1:1">
      <c r="A83" s="60" t="s">
        <v>357</v>
      </c>
    </row>
    <row r="84" spans="1:1">
      <c r="A84" s="60" t="s">
        <v>358</v>
      </c>
    </row>
    <row r="85" spans="1:1">
      <c r="A85" s="60" t="s">
        <v>359</v>
      </c>
    </row>
    <row r="86" spans="1:1">
      <c r="A86" s="60" t="s">
        <v>360</v>
      </c>
    </row>
    <row r="87" spans="1:1">
      <c r="A87" s="60" t="s">
        <v>361</v>
      </c>
    </row>
    <row r="88" spans="1:1">
      <c r="A88" s="60" t="s">
        <v>362</v>
      </c>
    </row>
    <row r="89" spans="1:1">
      <c r="A89" s="60" t="s">
        <v>363</v>
      </c>
    </row>
    <row r="90" spans="1:1">
      <c r="A90" s="60" t="s">
        <v>364</v>
      </c>
    </row>
    <row r="91" spans="1:1">
      <c r="A91" s="60" t="s">
        <v>365</v>
      </c>
    </row>
    <row r="92" spans="1:1">
      <c r="A92" s="60" t="s">
        <v>366</v>
      </c>
    </row>
    <row r="93" spans="1:1">
      <c r="A93" s="60" t="s">
        <v>367</v>
      </c>
    </row>
    <row r="94" spans="1:1">
      <c r="A94" s="60" t="s">
        <v>368</v>
      </c>
    </row>
    <row r="95" spans="1:1">
      <c r="A95" s="60" t="s">
        <v>369</v>
      </c>
    </row>
    <row r="96" spans="1:1">
      <c r="A96" s="60" t="s">
        <v>370</v>
      </c>
    </row>
    <row r="97" spans="1:1">
      <c r="A97" s="60" t="s">
        <v>371</v>
      </c>
    </row>
    <row r="98" spans="1:1">
      <c r="A98" s="60" t="s">
        <v>372</v>
      </c>
    </row>
    <row r="99" spans="1:1">
      <c r="A99" s="60" t="s">
        <v>373</v>
      </c>
    </row>
    <row r="100" spans="1:1">
      <c r="A100" s="60" t="s">
        <v>374</v>
      </c>
    </row>
    <row r="101" spans="1:1">
      <c r="A101" s="60" t="s">
        <v>375</v>
      </c>
    </row>
    <row r="102" spans="1:1">
      <c r="A102" s="60" t="s">
        <v>376</v>
      </c>
    </row>
    <row r="103" spans="1:1">
      <c r="A103" s="60" t="s">
        <v>377</v>
      </c>
    </row>
    <row r="104" spans="1:1">
      <c r="A104" s="60" t="s">
        <v>378</v>
      </c>
    </row>
    <row r="105" spans="1:1">
      <c r="A105" s="60" t="s">
        <v>379</v>
      </c>
    </row>
    <row r="106" spans="1:1">
      <c r="A106" s="60" t="s">
        <v>380</v>
      </c>
    </row>
    <row r="107" spans="1:1">
      <c r="A107" s="60" t="s">
        <v>381</v>
      </c>
    </row>
    <row r="108" spans="1:1">
      <c r="A108" s="60" t="s">
        <v>382</v>
      </c>
    </row>
    <row r="109" spans="1:1">
      <c r="A109" s="60" t="s">
        <v>383</v>
      </c>
    </row>
    <row r="110" spans="1:1">
      <c r="A110" s="60" t="s">
        <v>384</v>
      </c>
    </row>
    <row r="111" spans="1:1">
      <c r="A111" s="60" t="s">
        <v>385</v>
      </c>
    </row>
    <row r="112" spans="1:1">
      <c r="A112" s="60" t="s">
        <v>386</v>
      </c>
    </row>
    <row r="113" spans="1:1">
      <c r="A113" s="60" t="s">
        <v>387</v>
      </c>
    </row>
    <row r="114" spans="1:1">
      <c r="A114" s="60" t="s">
        <v>388</v>
      </c>
    </row>
    <row r="115" spans="1:1">
      <c r="A115" s="60" t="s">
        <v>389</v>
      </c>
    </row>
    <row r="116" spans="1:1">
      <c r="A116" s="60" t="s">
        <v>390</v>
      </c>
    </row>
    <row r="117" spans="1:1">
      <c r="A117" s="60" t="s">
        <v>391</v>
      </c>
    </row>
    <row r="118" spans="1:1">
      <c r="A118" s="60" t="s">
        <v>392</v>
      </c>
    </row>
    <row r="119" spans="1:1">
      <c r="A119" s="60" t="s">
        <v>393</v>
      </c>
    </row>
    <row r="120" spans="1:1">
      <c r="A120" s="60" t="s">
        <v>394</v>
      </c>
    </row>
    <row r="121" spans="1:1">
      <c r="A121" s="60" t="s">
        <v>395</v>
      </c>
    </row>
    <row r="122" spans="1:1">
      <c r="A122" s="60" t="s">
        <v>396</v>
      </c>
    </row>
    <row r="123" spans="1:1">
      <c r="A123" s="60" t="s">
        <v>397</v>
      </c>
    </row>
    <row r="124" spans="1:1">
      <c r="A124" s="60" t="s">
        <v>398</v>
      </c>
    </row>
    <row r="125" spans="1:1">
      <c r="A125" s="60" t="s">
        <v>399</v>
      </c>
    </row>
    <row r="126" spans="1:1">
      <c r="A126" s="60" t="s">
        <v>400</v>
      </c>
    </row>
    <row r="127" spans="1:1">
      <c r="A127" s="60" t="s">
        <v>401</v>
      </c>
    </row>
    <row r="128" spans="1:1">
      <c r="A128" s="60" t="s">
        <v>402</v>
      </c>
    </row>
    <row r="129" spans="1:1">
      <c r="A129" s="60" t="s">
        <v>403</v>
      </c>
    </row>
    <row r="130" spans="1:1">
      <c r="A130" s="60" t="s">
        <v>404</v>
      </c>
    </row>
    <row r="131" spans="1:1">
      <c r="A131" s="60" t="s">
        <v>405</v>
      </c>
    </row>
    <row r="132" spans="1:1">
      <c r="A132" s="60" t="s">
        <v>406</v>
      </c>
    </row>
    <row r="133" spans="1:1">
      <c r="A133" s="60" t="s">
        <v>407</v>
      </c>
    </row>
    <row r="134" spans="1:1">
      <c r="A134" s="60" t="s">
        <v>408</v>
      </c>
    </row>
    <row r="135" spans="1:1">
      <c r="A135" s="60" t="s">
        <v>409</v>
      </c>
    </row>
    <row r="136" spans="1:1">
      <c r="A136" s="60" t="s">
        <v>410</v>
      </c>
    </row>
    <row r="137" spans="1:1">
      <c r="A137" s="60" t="s">
        <v>411</v>
      </c>
    </row>
    <row r="138" spans="1:1">
      <c r="A138" s="60" t="s">
        <v>412</v>
      </c>
    </row>
    <row r="139" spans="1:1">
      <c r="A139" s="60" t="s">
        <v>413</v>
      </c>
    </row>
    <row r="140" spans="1:1">
      <c r="A140" s="60" t="s">
        <v>414</v>
      </c>
    </row>
    <row r="141" spans="1:1">
      <c r="A141" s="60" t="s">
        <v>415</v>
      </c>
    </row>
    <row r="142" spans="1:1">
      <c r="A142" s="60" t="s">
        <v>416</v>
      </c>
    </row>
    <row r="143" spans="1:1">
      <c r="A143" s="60" t="s">
        <v>417</v>
      </c>
    </row>
    <row r="144" spans="1:1">
      <c r="A144" s="60" t="s">
        <v>418</v>
      </c>
    </row>
    <row r="145" spans="1:1">
      <c r="A145" s="60" t="s">
        <v>419</v>
      </c>
    </row>
    <row r="146" spans="1:1">
      <c r="A146" s="60" t="s">
        <v>420</v>
      </c>
    </row>
    <row r="147" spans="1:1">
      <c r="A147" s="60" t="s">
        <v>421</v>
      </c>
    </row>
    <row r="148" spans="1:1">
      <c r="A148" s="60" t="s">
        <v>422</v>
      </c>
    </row>
    <row r="149" spans="1:1">
      <c r="A149" s="60" t="s">
        <v>423</v>
      </c>
    </row>
    <row r="150" spans="1:1">
      <c r="A150" s="60" t="s">
        <v>424</v>
      </c>
    </row>
    <row r="151" spans="1:1">
      <c r="A151" s="60" t="s">
        <v>425</v>
      </c>
    </row>
    <row r="152" spans="1:1">
      <c r="A152" s="60" t="s">
        <v>426</v>
      </c>
    </row>
    <row r="153" spans="1:1">
      <c r="A153" s="60" t="s">
        <v>427</v>
      </c>
    </row>
    <row r="154" spans="1:1">
      <c r="A154" s="60" t="s">
        <v>428</v>
      </c>
    </row>
    <row r="155" spans="1:1">
      <c r="A155" s="60" t="s">
        <v>429</v>
      </c>
    </row>
    <row r="156" spans="1:1">
      <c r="A156" s="60" t="s">
        <v>430</v>
      </c>
    </row>
    <row r="157" spans="1:1">
      <c r="A157" s="60" t="s">
        <v>431</v>
      </c>
    </row>
    <row r="158" spans="1:1">
      <c r="A158" s="60" t="s">
        <v>432</v>
      </c>
    </row>
    <row r="159" spans="1:1">
      <c r="A159" s="60" t="s">
        <v>433</v>
      </c>
    </row>
    <row r="160" spans="1:1">
      <c r="A160" s="60" t="s">
        <v>434</v>
      </c>
    </row>
    <row r="161" spans="1:1">
      <c r="A161" s="60" t="s">
        <v>435</v>
      </c>
    </row>
    <row r="162" spans="1:1">
      <c r="A162" s="60" t="s">
        <v>436</v>
      </c>
    </row>
    <row r="163" spans="1:1">
      <c r="A163" s="60" t="s">
        <v>437</v>
      </c>
    </row>
    <row r="164" spans="1:1">
      <c r="A164" s="60" t="s">
        <v>438</v>
      </c>
    </row>
    <row r="165" spans="1:1">
      <c r="A165" s="60" t="s">
        <v>439</v>
      </c>
    </row>
    <row r="166" spans="1:1">
      <c r="A166" s="60" t="s">
        <v>440</v>
      </c>
    </row>
    <row r="167" spans="1:1">
      <c r="A167" s="60" t="s">
        <v>441</v>
      </c>
    </row>
    <row r="168" spans="1:1">
      <c r="A168" s="60" t="s">
        <v>442</v>
      </c>
    </row>
    <row r="169" spans="1:1">
      <c r="A169" s="60" t="s">
        <v>443</v>
      </c>
    </row>
    <row r="170" spans="1:1">
      <c r="A170" s="60" t="s">
        <v>444</v>
      </c>
    </row>
    <row r="171" spans="1:1">
      <c r="A171" s="60" t="s">
        <v>445</v>
      </c>
    </row>
    <row r="172" spans="1:1">
      <c r="A172" s="60" t="s">
        <v>446</v>
      </c>
    </row>
    <row r="173" spans="1:1">
      <c r="A173" s="60" t="s">
        <v>447</v>
      </c>
    </row>
    <row r="174" spans="1:1">
      <c r="A174" s="60" t="s">
        <v>448</v>
      </c>
    </row>
    <row r="175" spans="1:1">
      <c r="A175" s="60" t="s">
        <v>449</v>
      </c>
    </row>
    <row r="176" spans="1:1">
      <c r="A176" s="60" t="s">
        <v>450</v>
      </c>
    </row>
    <row r="177" spans="1:1">
      <c r="A177" s="60" t="s">
        <v>451</v>
      </c>
    </row>
    <row r="178" spans="1:1">
      <c r="A178" s="60" t="s">
        <v>452</v>
      </c>
    </row>
    <row r="179" spans="1:1">
      <c r="A179" s="60" t="s">
        <v>453</v>
      </c>
    </row>
    <row r="180" spans="1:1">
      <c r="A180" s="60" t="s">
        <v>454</v>
      </c>
    </row>
    <row r="181" spans="1:1">
      <c r="A181" s="60" t="s">
        <v>455</v>
      </c>
    </row>
    <row r="182" spans="1:1">
      <c r="A182" s="60" t="s">
        <v>456</v>
      </c>
    </row>
    <row r="183" spans="1:1">
      <c r="A183" s="60" t="s">
        <v>457</v>
      </c>
    </row>
    <row r="184" spans="1:1">
      <c r="A184" s="60" t="s">
        <v>458</v>
      </c>
    </row>
    <row r="185" spans="1:1">
      <c r="A185" s="60" t="s">
        <v>459</v>
      </c>
    </row>
    <row r="186" spans="1:1">
      <c r="A186" s="60" t="s">
        <v>460</v>
      </c>
    </row>
    <row r="187" spans="1:1">
      <c r="A187" s="60" t="s">
        <v>461</v>
      </c>
    </row>
    <row r="188" spans="1:1">
      <c r="A188" s="60" t="s">
        <v>462</v>
      </c>
    </row>
    <row r="189" spans="1:1">
      <c r="A189" s="60" t="s">
        <v>463</v>
      </c>
    </row>
    <row r="190" spans="1:1">
      <c r="A190" s="60" t="s">
        <v>464</v>
      </c>
    </row>
    <row r="191" spans="1:1">
      <c r="A191" s="60" t="s">
        <v>465</v>
      </c>
    </row>
    <row r="192" spans="1:1">
      <c r="A192" s="60" t="s">
        <v>466</v>
      </c>
    </row>
    <row r="193" spans="1:1">
      <c r="A193" s="60" t="s">
        <v>467</v>
      </c>
    </row>
    <row r="194" spans="1:1">
      <c r="A194" s="60" t="s">
        <v>468</v>
      </c>
    </row>
    <row r="195" spans="1:1">
      <c r="A195" s="60" t="s">
        <v>469</v>
      </c>
    </row>
    <row r="196" spans="1:1">
      <c r="A196" s="60" t="s">
        <v>470</v>
      </c>
    </row>
    <row r="197" spans="1:1">
      <c r="A197" s="60" t="s">
        <v>471</v>
      </c>
    </row>
    <row r="198" spans="1:1">
      <c r="A198" s="60" t="s">
        <v>472</v>
      </c>
    </row>
    <row r="199" spans="1:1">
      <c r="A199" s="60" t="s">
        <v>473</v>
      </c>
    </row>
    <row r="200" spans="1:1">
      <c r="A200" s="60" t="s">
        <v>474</v>
      </c>
    </row>
    <row r="201" spans="1:1">
      <c r="A201" s="60" t="s">
        <v>475</v>
      </c>
    </row>
    <row r="202" spans="1:1">
      <c r="A202" s="60" t="s">
        <v>476</v>
      </c>
    </row>
    <row r="203" spans="1:1">
      <c r="A203" s="60" t="s">
        <v>477</v>
      </c>
    </row>
    <row r="204" spans="1:1">
      <c r="A204" s="60" t="s">
        <v>478</v>
      </c>
    </row>
    <row r="205" spans="1:1">
      <c r="A205" s="60" t="s">
        <v>479</v>
      </c>
    </row>
    <row r="206" spans="1:1">
      <c r="A206" s="60" t="s">
        <v>480</v>
      </c>
    </row>
    <row r="207" spans="1:1">
      <c r="A207" s="60" t="s">
        <v>481</v>
      </c>
    </row>
    <row r="208" spans="1:1">
      <c r="A208" s="60" t="s">
        <v>482</v>
      </c>
    </row>
    <row r="209" spans="1:1">
      <c r="A209" s="60" t="s">
        <v>483</v>
      </c>
    </row>
    <row r="210" spans="1:1">
      <c r="A210" s="60" t="s">
        <v>484</v>
      </c>
    </row>
    <row r="211" spans="1:1">
      <c r="A211" s="60" t="s">
        <v>485</v>
      </c>
    </row>
    <row r="212" spans="1:1">
      <c r="A212" s="60" t="s">
        <v>486</v>
      </c>
    </row>
    <row r="213" spans="1:1">
      <c r="A213" s="60" t="s">
        <v>487</v>
      </c>
    </row>
    <row r="214" spans="1:1">
      <c r="A214" s="60" t="s">
        <v>488</v>
      </c>
    </row>
    <row r="215" spans="1:1">
      <c r="A215" s="60" t="s">
        <v>489</v>
      </c>
    </row>
    <row r="216" spans="1:1">
      <c r="A216" s="60" t="s">
        <v>490</v>
      </c>
    </row>
    <row r="217" spans="1:1">
      <c r="A217" s="60" t="s">
        <v>491</v>
      </c>
    </row>
    <row r="218" spans="1:1">
      <c r="A218" s="60" t="s">
        <v>492</v>
      </c>
    </row>
    <row r="219" spans="1:1">
      <c r="A219" s="60" t="s">
        <v>493</v>
      </c>
    </row>
    <row r="220" spans="1:1">
      <c r="A220" s="60" t="s">
        <v>494</v>
      </c>
    </row>
    <row r="221" spans="1:1">
      <c r="A221" s="60" t="s">
        <v>495</v>
      </c>
    </row>
    <row r="222" spans="1:1">
      <c r="A222" s="60" t="s">
        <v>496</v>
      </c>
    </row>
    <row r="223" spans="1:1">
      <c r="A223" s="60" t="s">
        <v>497</v>
      </c>
    </row>
    <row r="224" spans="1:1">
      <c r="A224" s="60" t="s">
        <v>498</v>
      </c>
    </row>
    <row r="225" spans="1:1">
      <c r="A225" s="60" t="s">
        <v>499</v>
      </c>
    </row>
    <row r="226" spans="1:1">
      <c r="A226" s="60" t="s">
        <v>500</v>
      </c>
    </row>
    <row r="227" spans="1:1">
      <c r="A227" s="60" t="s">
        <v>501</v>
      </c>
    </row>
    <row r="228" spans="1:1">
      <c r="A228" s="60" t="s">
        <v>502</v>
      </c>
    </row>
    <row r="229" spans="1:1">
      <c r="A229" s="60" t="s">
        <v>503</v>
      </c>
    </row>
    <row r="230" spans="1:1">
      <c r="A230" s="60" t="s">
        <v>504</v>
      </c>
    </row>
    <row r="231" spans="1:1">
      <c r="A231" s="60" t="s">
        <v>505</v>
      </c>
    </row>
    <row r="232" spans="1:1">
      <c r="A232" s="60" t="s">
        <v>506</v>
      </c>
    </row>
    <row r="233" spans="1:1">
      <c r="A233" s="60" t="s">
        <v>507</v>
      </c>
    </row>
    <row r="234" spans="1:1">
      <c r="A234" s="60" t="s">
        <v>508</v>
      </c>
    </row>
    <row r="235" spans="1:1">
      <c r="A235" s="60" t="s">
        <v>509</v>
      </c>
    </row>
    <row r="236" spans="1:1">
      <c r="A236" s="60" t="s">
        <v>510</v>
      </c>
    </row>
    <row r="237" spans="1:1">
      <c r="A237" s="60" t="s">
        <v>511</v>
      </c>
    </row>
    <row r="238" spans="1:1">
      <c r="A238" s="60" t="s">
        <v>512</v>
      </c>
    </row>
    <row r="239" spans="1:1">
      <c r="A239" s="60" t="s">
        <v>513</v>
      </c>
    </row>
    <row r="240" spans="1:1">
      <c r="A240" s="60" t="s">
        <v>514</v>
      </c>
    </row>
    <row r="241" spans="1:1">
      <c r="A241" s="60" t="s">
        <v>515</v>
      </c>
    </row>
    <row r="242" spans="1:1">
      <c r="A242" s="60" t="s">
        <v>516</v>
      </c>
    </row>
    <row r="243" spans="1:1">
      <c r="A243" s="60" t="s">
        <v>517</v>
      </c>
    </row>
    <row r="244" spans="1:1">
      <c r="A244" s="60" t="s">
        <v>518</v>
      </c>
    </row>
    <row r="245" spans="1:1">
      <c r="A245" s="60" t="s">
        <v>519</v>
      </c>
    </row>
    <row r="246" spans="1:1">
      <c r="A246" s="60" t="s">
        <v>520</v>
      </c>
    </row>
    <row r="247" spans="1:1">
      <c r="A247" s="60" t="s">
        <v>521</v>
      </c>
    </row>
    <row r="248" spans="1:1">
      <c r="A248" s="60" t="s">
        <v>522</v>
      </c>
    </row>
    <row r="249" spans="1:1">
      <c r="A249" s="60" t="s">
        <v>523</v>
      </c>
    </row>
    <row r="250" spans="1:1">
      <c r="A250" s="60" t="s">
        <v>524</v>
      </c>
    </row>
    <row r="251" spans="1:1">
      <c r="A251" s="60" t="s">
        <v>525</v>
      </c>
    </row>
    <row r="252" spans="1:1">
      <c r="A252" s="60" t="s">
        <v>526</v>
      </c>
    </row>
    <row r="253" spans="1:1">
      <c r="A253" s="60" t="s">
        <v>527</v>
      </c>
    </row>
    <row r="254" spans="1:1">
      <c r="A254" s="60" t="s">
        <v>528</v>
      </c>
    </row>
    <row r="255" spans="1:1">
      <c r="A255" s="60" t="s">
        <v>529</v>
      </c>
    </row>
    <row r="256" spans="1:1">
      <c r="A256" s="60" t="s">
        <v>530</v>
      </c>
    </row>
    <row r="257" spans="1:1">
      <c r="A257" s="60" t="s">
        <v>531</v>
      </c>
    </row>
    <row r="258" spans="1:1">
      <c r="A258" s="60" t="s">
        <v>532</v>
      </c>
    </row>
    <row r="259" spans="1:1">
      <c r="A259" s="60" t="s">
        <v>533</v>
      </c>
    </row>
    <row r="260" spans="1:1">
      <c r="A260" s="60" t="s">
        <v>534</v>
      </c>
    </row>
    <row r="261" spans="1:1">
      <c r="A261" s="60" t="s">
        <v>535</v>
      </c>
    </row>
    <row r="262" spans="1:1">
      <c r="A262" s="60" t="s">
        <v>536</v>
      </c>
    </row>
    <row r="263" spans="1:1">
      <c r="A263" s="60" t="s">
        <v>537</v>
      </c>
    </row>
    <row r="264" spans="1:1">
      <c r="A264" s="60" t="s">
        <v>538</v>
      </c>
    </row>
    <row r="265" spans="1:1">
      <c r="A265" s="60" t="s">
        <v>539</v>
      </c>
    </row>
    <row r="266" spans="1:1">
      <c r="A266" s="60" t="s">
        <v>540</v>
      </c>
    </row>
    <row r="267" spans="1:1">
      <c r="A267" s="60" t="s">
        <v>541</v>
      </c>
    </row>
    <row r="268" spans="1:1">
      <c r="A268" s="60" t="s">
        <v>542</v>
      </c>
    </row>
    <row r="269" spans="1:1">
      <c r="A269" s="60" t="s">
        <v>543</v>
      </c>
    </row>
    <row r="270" spans="1:1">
      <c r="A270" s="60" t="s">
        <v>544</v>
      </c>
    </row>
    <row r="271" spans="1:1">
      <c r="A271" s="60" t="s">
        <v>545</v>
      </c>
    </row>
    <row r="272" spans="1:1">
      <c r="A272" s="60" t="s">
        <v>546</v>
      </c>
    </row>
    <row r="273" spans="1:1">
      <c r="A273" s="60" t="s">
        <v>547</v>
      </c>
    </row>
    <row r="274" spans="1:1">
      <c r="A274" s="60" t="s">
        <v>548</v>
      </c>
    </row>
    <row r="275" spans="1:1">
      <c r="A275" s="60" t="s">
        <v>549</v>
      </c>
    </row>
    <row r="276" spans="1:1">
      <c r="A276" s="60" t="s">
        <v>550</v>
      </c>
    </row>
    <row r="277" spans="1:1">
      <c r="A277" s="60" t="s">
        <v>551</v>
      </c>
    </row>
    <row r="278" spans="1:1">
      <c r="A278" s="60" t="s">
        <v>552</v>
      </c>
    </row>
    <row r="279" spans="1:1">
      <c r="A279" s="60" t="s">
        <v>553</v>
      </c>
    </row>
    <row r="280" spans="1:1">
      <c r="A280" s="60" t="s">
        <v>554</v>
      </c>
    </row>
    <row r="281" spans="1:1">
      <c r="A281" s="60" t="s">
        <v>555</v>
      </c>
    </row>
    <row r="282" spans="1:1">
      <c r="A282" s="60" t="s">
        <v>556</v>
      </c>
    </row>
    <row r="283" spans="1:1">
      <c r="A283" s="60" t="s">
        <v>557</v>
      </c>
    </row>
    <row r="284" spans="1:1">
      <c r="A284" s="60" t="s">
        <v>558</v>
      </c>
    </row>
    <row r="285" spans="1:1">
      <c r="A285" s="60" t="s">
        <v>559</v>
      </c>
    </row>
    <row r="286" spans="1:1">
      <c r="A286" s="60" t="s">
        <v>560</v>
      </c>
    </row>
    <row r="287" spans="1:1">
      <c r="A287" s="60" t="s">
        <v>561</v>
      </c>
    </row>
    <row r="288" spans="1:1">
      <c r="A288" s="60" t="s">
        <v>562</v>
      </c>
    </row>
    <row r="289" spans="1:1">
      <c r="A289" s="60" t="s">
        <v>563</v>
      </c>
    </row>
    <row r="290" spans="1:1">
      <c r="A290" s="60" t="s">
        <v>564</v>
      </c>
    </row>
    <row r="291" spans="1:1">
      <c r="A291" s="60" t="s">
        <v>565</v>
      </c>
    </row>
    <row r="292" spans="1:1">
      <c r="A292" s="60" t="s">
        <v>566</v>
      </c>
    </row>
    <row r="293" spans="1:1">
      <c r="A293" s="60" t="s">
        <v>567</v>
      </c>
    </row>
    <row r="294" spans="1:1">
      <c r="A294" s="60" t="s">
        <v>568</v>
      </c>
    </row>
    <row r="295" spans="1:1">
      <c r="A295" s="60" t="s">
        <v>569</v>
      </c>
    </row>
    <row r="296" spans="1:1">
      <c r="A296" s="60" t="s">
        <v>570</v>
      </c>
    </row>
    <row r="297" spans="1:1">
      <c r="A297" s="60" t="s">
        <v>571</v>
      </c>
    </row>
    <row r="298" spans="1:1">
      <c r="A298" s="60" t="s">
        <v>572</v>
      </c>
    </row>
    <row r="299" spans="1:1">
      <c r="A299" s="60" t="s">
        <v>573</v>
      </c>
    </row>
    <row r="300" spans="1:1">
      <c r="A300" s="60" t="s">
        <v>574</v>
      </c>
    </row>
    <row r="301" spans="1:1">
      <c r="A301" s="60" t="s">
        <v>575</v>
      </c>
    </row>
    <row r="302" spans="1:1">
      <c r="A302" s="60" t="s">
        <v>576</v>
      </c>
    </row>
    <row r="303" spans="1:1">
      <c r="A303" s="60" t="s">
        <v>577</v>
      </c>
    </row>
    <row r="304" spans="1:1">
      <c r="A304" s="60" t="s">
        <v>578</v>
      </c>
    </row>
    <row r="305" spans="1:1">
      <c r="A305" s="60" t="s">
        <v>579</v>
      </c>
    </row>
    <row r="306" spans="1:1">
      <c r="A306" s="60" t="s">
        <v>580</v>
      </c>
    </row>
    <row r="307" spans="1:1">
      <c r="A307" s="60" t="s">
        <v>581</v>
      </c>
    </row>
    <row r="308" spans="1:1">
      <c r="A308" s="60" t="s">
        <v>582</v>
      </c>
    </row>
    <row r="309" spans="1:1">
      <c r="A309" s="60" t="s">
        <v>583</v>
      </c>
    </row>
    <row r="310" spans="1:1">
      <c r="A310" s="60" t="s">
        <v>584</v>
      </c>
    </row>
    <row r="311" spans="1:1">
      <c r="A311" s="60" t="s">
        <v>585</v>
      </c>
    </row>
    <row r="312" spans="1:1">
      <c r="A312" s="60" t="s">
        <v>586</v>
      </c>
    </row>
    <row r="313" spans="1:1">
      <c r="A313" s="60" t="s">
        <v>587</v>
      </c>
    </row>
    <row r="314" spans="1:1">
      <c r="A314" s="60" t="s">
        <v>588</v>
      </c>
    </row>
    <row r="315" spans="1:1">
      <c r="A315" s="60" t="s">
        <v>589</v>
      </c>
    </row>
    <row r="316" spans="1:1">
      <c r="A316" s="60" t="s">
        <v>590</v>
      </c>
    </row>
    <row r="317" spans="1:1">
      <c r="A317" s="60" t="s">
        <v>591</v>
      </c>
    </row>
    <row r="318" spans="1:1">
      <c r="A318" s="60" t="s">
        <v>592</v>
      </c>
    </row>
    <row r="319" spans="1:1">
      <c r="A319" s="60" t="s">
        <v>593</v>
      </c>
    </row>
    <row r="320" spans="1:1">
      <c r="A320" s="60" t="s">
        <v>594</v>
      </c>
    </row>
    <row r="321" spans="1:1">
      <c r="A321" s="60" t="s">
        <v>595</v>
      </c>
    </row>
    <row r="322" spans="1:1">
      <c r="A322" s="60" t="s">
        <v>596</v>
      </c>
    </row>
    <row r="323" spans="1:1">
      <c r="A323" s="60" t="s">
        <v>597</v>
      </c>
    </row>
    <row r="324" spans="1:1">
      <c r="A324" s="60" t="s">
        <v>598</v>
      </c>
    </row>
    <row r="325" spans="1:1">
      <c r="A325" s="60" t="s">
        <v>599</v>
      </c>
    </row>
    <row r="326" spans="1:1">
      <c r="A326" s="60" t="s">
        <v>600</v>
      </c>
    </row>
    <row r="327" spans="1:1">
      <c r="A327" s="60" t="s">
        <v>601</v>
      </c>
    </row>
    <row r="328" spans="1:1">
      <c r="A328" s="60" t="s">
        <v>602</v>
      </c>
    </row>
    <row r="329" spans="1:1">
      <c r="A329" s="60" t="s">
        <v>603</v>
      </c>
    </row>
    <row r="330" spans="1:1">
      <c r="A330" s="60" t="s">
        <v>604</v>
      </c>
    </row>
    <row r="331" spans="1:1">
      <c r="A331" s="60" t="s">
        <v>605</v>
      </c>
    </row>
    <row r="332" spans="1:1">
      <c r="A332" s="60" t="s">
        <v>606</v>
      </c>
    </row>
    <row r="333" spans="1:1">
      <c r="A333" s="60" t="s">
        <v>607</v>
      </c>
    </row>
    <row r="334" spans="1:1">
      <c r="A334" s="60" t="s">
        <v>608</v>
      </c>
    </row>
    <row r="335" spans="1:1">
      <c r="A335" s="60" t="s">
        <v>609</v>
      </c>
    </row>
    <row r="336" spans="1:1">
      <c r="A336" s="60" t="s">
        <v>610</v>
      </c>
    </row>
    <row r="337" spans="1:1">
      <c r="A337" s="60" t="s">
        <v>611</v>
      </c>
    </row>
    <row r="338" spans="1:1">
      <c r="A338" s="60" t="s">
        <v>612</v>
      </c>
    </row>
    <row r="339" spans="1:1">
      <c r="A339" s="60" t="s">
        <v>613</v>
      </c>
    </row>
    <row r="340" spans="1:1">
      <c r="A340" s="60" t="s">
        <v>614</v>
      </c>
    </row>
    <row r="341" spans="1:1">
      <c r="A341" s="60" t="s">
        <v>615</v>
      </c>
    </row>
    <row r="342" spans="1:1">
      <c r="A342" s="60" t="s">
        <v>616</v>
      </c>
    </row>
    <row r="343" spans="1:1">
      <c r="A343" s="60" t="s">
        <v>617</v>
      </c>
    </row>
    <row r="344" spans="1:1">
      <c r="A344" s="60" t="s">
        <v>618</v>
      </c>
    </row>
    <row r="345" spans="1:1">
      <c r="A345" s="60" t="s">
        <v>619</v>
      </c>
    </row>
    <row r="346" spans="1:1">
      <c r="A346" s="60" t="s">
        <v>620</v>
      </c>
    </row>
    <row r="347" spans="1:1">
      <c r="A347" s="60" t="s">
        <v>621</v>
      </c>
    </row>
    <row r="348" spans="1:1">
      <c r="A348" s="60" t="s">
        <v>622</v>
      </c>
    </row>
    <row r="349" spans="1:1">
      <c r="A349" s="60" t="s">
        <v>623</v>
      </c>
    </row>
    <row r="350" spans="1:1">
      <c r="A350" s="60" t="s">
        <v>624</v>
      </c>
    </row>
    <row r="351" spans="1:1">
      <c r="A351" s="60" t="s">
        <v>625</v>
      </c>
    </row>
    <row r="352" spans="1:1">
      <c r="A352" s="60" t="s">
        <v>626</v>
      </c>
    </row>
    <row r="353" spans="1:1">
      <c r="A353" s="60" t="s">
        <v>627</v>
      </c>
    </row>
    <row r="354" spans="1:1">
      <c r="A354" s="60" t="s">
        <v>628</v>
      </c>
    </row>
    <row r="355" spans="1:1">
      <c r="A355" s="60" t="s">
        <v>629</v>
      </c>
    </row>
  </sheetData>
  <phoneticPr fontId="6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>
    <tabColor rgb="FFFFFF00"/>
  </sheetPr>
  <dimension ref="A1:V533"/>
  <sheetViews>
    <sheetView showZeros="0" view="pageBreakPreview" zoomScaleNormal="100" zoomScaleSheetLayoutView="100" workbookViewId="0">
      <pane xSplit="1" ySplit="6" topLeftCell="B7" activePane="bottomRight" state="frozen"/>
      <selection activeCell="C25" sqref="C25"/>
      <selection pane="topRight" activeCell="C25" sqref="C25"/>
      <selection pane="bottomLeft" activeCell="C25" sqref="C25"/>
      <selection pane="bottomRight" activeCell="K16" sqref="K16"/>
    </sheetView>
  </sheetViews>
  <sheetFormatPr defaultColWidth="9.375" defaultRowHeight="10.8"/>
  <cols>
    <col min="1" max="1" width="4" style="20" bestFit="1" customWidth="1"/>
    <col min="2" max="2" width="13.375" style="20" customWidth="1"/>
    <col min="3" max="3" width="16.5" style="20" customWidth="1"/>
    <col min="4" max="4" width="13.375" style="28" bestFit="1" customWidth="1"/>
    <col min="5" max="5" width="6" style="28" bestFit="1" customWidth="1"/>
    <col min="6" max="7" width="8" style="20" bestFit="1" customWidth="1"/>
    <col min="8" max="8" width="10" style="20" bestFit="1" customWidth="1"/>
    <col min="9" max="10" width="9" style="20" bestFit="1" customWidth="1"/>
    <col min="11" max="11" width="29" style="20" customWidth="1"/>
    <col min="12" max="12" width="11" style="20" bestFit="1" customWidth="1"/>
    <col min="13" max="13" width="31.375" style="20" customWidth="1"/>
    <col min="14" max="16384" width="9.375" style="20"/>
  </cols>
  <sheetData>
    <row r="1" spans="1:22" ht="26.25" customHeight="1">
      <c r="A1" s="142" t="s">
        <v>24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2" spans="1:22">
      <c r="A2" s="135" t="s">
        <v>7</v>
      </c>
      <c r="B2" s="136"/>
      <c r="C2" s="143" t="str">
        <f>시스템정보!B2</f>
        <v>일대일거래APP</v>
      </c>
      <c r="D2" s="144"/>
      <c r="E2" s="144"/>
      <c r="F2" s="145"/>
      <c r="G2" s="94" t="s">
        <v>9</v>
      </c>
      <c r="H2" s="146" t="s">
        <v>247</v>
      </c>
      <c r="I2" s="147"/>
      <c r="J2" s="94" t="s">
        <v>11</v>
      </c>
      <c r="K2" s="59" t="s">
        <v>662</v>
      </c>
    </row>
    <row r="3" spans="1:22" ht="13.2">
      <c r="A3" s="135" t="s">
        <v>8</v>
      </c>
      <c r="B3" s="136"/>
      <c r="C3" s="32" t="s">
        <v>704</v>
      </c>
      <c r="D3" s="146" t="s">
        <v>703</v>
      </c>
      <c r="E3" s="148"/>
      <c r="F3" s="147"/>
      <c r="G3" s="94" t="s">
        <v>10</v>
      </c>
      <c r="H3" s="146" t="s">
        <v>247</v>
      </c>
      <c r="I3" s="147"/>
      <c r="J3" s="94" t="s">
        <v>18</v>
      </c>
      <c r="K3" s="59" t="s">
        <v>662</v>
      </c>
      <c r="M3" s="22"/>
    </row>
    <row r="4" spans="1:22" ht="13.2">
      <c r="A4" s="135" t="s">
        <v>6</v>
      </c>
      <c r="B4" s="136"/>
      <c r="C4" s="137" t="s">
        <v>718</v>
      </c>
      <c r="D4" s="137"/>
      <c r="E4" s="137"/>
      <c r="F4" s="137"/>
      <c r="G4" s="137"/>
      <c r="H4" s="137"/>
      <c r="I4" s="137"/>
      <c r="J4" s="137"/>
      <c r="K4" s="137"/>
      <c r="M4" s="22" t="str">
        <f>"DROP TABLE "&amp; $C$3 &amp;";"</f>
        <v>DROP TABLE Stores;</v>
      </c>
    </row>
    <row r="5" spans="1:22" ht="13.2">
      <c r="A5" s="138" t="s">
        <v>136</v>
      </c>
      <c r="B5" s="139"/>
      <c r="C5" s="95" t="s">
        <v>248</v>
      </c>
      <c r="D5" s="138" t="s">
        <v>135</v>
      </c>
      <c r="E5" s="140"/>
      <c r="F5" s="141" t="s">
        <v>664</v>
      </c>
      <c r="G5" s="140"/>
      <c r="H5" s="94" t="s">
        <v>273</v>
      </c>
      <c r="I5" s="95" t="s">
        <v>138</v>
      </c>
      <c r="J5" s="95"/>
      <c r="K5" s="95"/>
      <c r="M5" s="22"/>
    </row>
    <row r="6" spans="1:22">
      <c r="A6" s="94" t="s">
        <v>1</v>
      </c>
      <c r="B6" s="94" t="s">
        <v>12</v>
      </c>
      <c r="C6" s="94" t="s">
        <v>13</v>
      </c>
      <c r="D6" s="94" t="s">
        <v>14</v>
      </c>
      <c r="E6" s="94" t="s">
        <v>15</v>
      </c>
      <c r="F6" s="94" t="s">
        <v>16</v>
      </c>
      <c r="G6" s="94" t="s">
        <v>26</v>
      </c>
      <c r="H6" s="94" t="s">
        <v>25</v>
      </c>
      <c r="I6" s="94" t="s">
        <v>17</v>
      </c>
      <c r="J6" s="94" t="s">
        <v>274</v>
      </c>
      <c r="K6" s="94" t="s">
        <v>6</v>
      </c>
      <c r="M6" s="23" t="str">
        <f>"CREATE TABLE " &amp; $C$3 &amp; " ("</f>
        <v>CREATE TABLE Stores (</v>
      </c>
      <c r="V6" s="23" t="str">
        <f>LEFT(UPPER($C$3)&amp;REPT(" ",30),30)
&amp;LEFT(SUBSTITUTE(LOWER(MID(SUBSTITUTE(PROPER($C$3),"_",""),1,1))&amp;MID(SUBSTITUTE(PROPER($C$3),"_",""),2,LEN(SUBSTITUTE(PROPER($C$3),"_",""))),"tb","")&amp;REPT(" ",30),30)
&amp;LEFT($D$3&amp;REPT(" ",30),30)</f>
        <v xml:space="preserve">STORES                        stores                        상점                            </v>
      </c>
    </row>
    <row r="7" spans="1:22">
      <c r="A7" s="59">
        <v>1</v>
      </c>
      <c r="B7" s="2" t="s">
        <v>675</v>
      </c>
      <c r="C7" s="2" t="s">
        <v>665</v>
      </c>
      <c r="D7" s="17" t="s">
        <v>275</v>
      </c>
      <c r="E7" s="39">
        <v>256</v>
      </c>
      <c r="F7" s="40"/>
      <c r="G7" s="38"/>
      <c r="H7" s="42"/>
      <c r="I7" s="41"/>
      <c r="J7" s="38"/>
      <c r="K7" s="43"/>
      <c r="M7" s="23" t="str">
        <f>REPT(" ",13)&amp;IF(ISBLANK($B7),"--"&amp;$A7,
LEFT(SUBSTITUTE($B7," ","*")&amp;REPT("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       storeNumber                   VARCHAR(256)                                                ,</v>
      </c>
      <c r="V7" s="23" t="str">
        <f>REPT(" ",6)&amp;
IF(ISBLANK($B7),"--"&amp;UPPER($A7),LEFT(SUBSTITUTE(UPPER($B7)," ","*")&amp;REPT(" ",30),30)&amp;
LEFT("AS " &amp; LOWER(MID(SUBSTITUTE(PROPER($B7),"_",""),1,1))&amp;MID(SUBSTITUTE(PROPER($B7),"_",""),2,LEN(SUBSTITUTE(PROPER($B7),"_","")))&amp;REPT(" ",30),30)&amp;
LEFT(IF(ISBLANK($C7),"/**/","/* "&amp;$C7)&amp;" */"&amp;REPT(" ",30),30))</f>
        <v xml:space="preserve">      STORENUMBER                   AS storenumber                /* 상점번호 */                    </v>
      </c>
    </row>
    <row r="8" spans="1:22">
      <c r="A8" s="59">
        <v>2</v>
      </c>
      <c r="B8" s="2" t="s">
        <v>676</v>
      </c>
      <c r="C8" s="2" t="s">
        <v>666</v>
      </c>
      <c r="D8" s="17" t="s">
        <v>275</v>
      </c>
      <c r="E8" s="33">
        <v>256</v>
      </c>
      <c r="F8" s="39"/>
      <c r="G8" s="44"/>
      <c r="H8" s="38"/>
      <c r="I8" s="41"/>
      <c r="J8" s="38"/>
      <c r="K8" s="43" t="s">
        <v>683</v>
      </c>
      <c r="M8" s="23" t="str">
        <f t="shared" ref="M8:M71" si="0">REPT(" ",13)&amp;IF(ISBLANK($B8),"--"&amp;$A8,
LEFT(SUBSTITUTE($B8," ","*")&amp;REPT(" ",30),30)&amp;
LEFT(IF(ISBLANK($D8),"",IF(OR(UPPER($D8)="DATE",UPPER($D8)="CLOB",UPPER($D8)="BLOB",UPPER($D8)="LONG",UPPER($D8)="TIMESTAMP"),UPPER($D8),IF(ISBLANK($E8),UPPER($D8),UPPER($D8)&amp;"("&amp;$E8&amp;")")))&amp;REPT(" ",15),15)&amp;
LEFT(IF(ISBLANK($F8),"","DEFAULT  "&amp;$F8)&amp;REPT(" ",19),19)&amp;
LEFT(IF(ISBLANK($J8),""," identity(" &amp; $J8 &amp; ") ")&amp;REPT(" ",17),17)&amp;
LEFT(IF(ISBLANK($H8),""," NOT NULL")&amp;REPT(" ",9),9)&amp;
IF(AND(ISBLANK(G$7),ISBLANK($B9)),"",","))</f>
        <v xml:space="preserve">             storeName                     VARCHAR(256)                                                ,</v>
      </c>
      <c r="V8" s="23" t="str">
        <f t="shared" ref="V8:V71" si="1">REPT(" ",6)&amp;
IF(ISBLANK($B8),"--"&amp;UPPER($A8),LEFT(SUBSTITUTE(UPPER($B8)," ","*")&amp;REPT(" ",30),30)&amp;
LEFT("AS " &amp; LOWER(MID(SUBSTITUTE(PROPER($B8),"_",""),1,1))&amp;MID(SUBSTITUTE(PROPER($B8),"_",""),2,LEN(SUBSTITUTE(PROPER($B8),"_","")))&amp;REPT(" ",30),30)&amp;
LEFT(IF(ISBLANK($C8),"/**/","/* "&amp;$C8)&amp;" */"&amp;REPT(" ",30),30))</f>
        <v xml:space="preserve">      STORENAME                     AS storename                  /* 상점명 */                     </v>
      </c>
    </row>
    <row r="9" spans="1:22">
      <c r="A9" s="59">
        <v>3</v>
      </c>
      <c r="B9" s="2" t="s">
        <v>677</v>
      </c>
      <c r="C9" s="2" t="s">
        <v>667</v>
      </c>
      <c r="D9" s="17" t="s">
        <v>275</v>
      </c>
      <c r="E9" s="33">
        <v>256</v>
      </c>
      <c r="F9" s="39"/>
      <c r="G9" s="44"/>
      <c r="H9" s="38"/>
      <c r="I9" s="41"/>
      <c r="J9" s="41"/>
      <c r="K9" s="43" t="s">
        <v>683</v>
      </c>
      <c r="M9" s="23" t="str">
        <f t="shared" si="0"/>
        <v xml:space="preserve">             sellerName                    VARCHAR(256)                                                ,</v>
      </c>
      <c r="V9" s="23" t="str">
        <f t="shared" si="1"/>
        <v xml:space="preserve">      SELLERNAME                    AS sellername                 /* 판매자명 */                    </v>
      </c>
    </row>
    <row r="10" spans="1:22">
      <c r="A10" s="59">
        <v>4</v>
      </c>
      <c r="B10" s="92" t="s">
        <v>678</v>
      </c>
      <c r="C10" s="92" t="s">
        <v>668</v>
      </c>
      <c r="D10" s="17" t="s">
        <v>275</v>
      </c>
      <c r="E10" s="33">
        <v>256</v>
      </c>
      <c r="F10" s="33"/>
      <c r="G10" s="33"/>
      <c r="H10" s="33"/>
      <c r="I10" s="35"/>
      <c r="J10" s="35"/>
      <c r="K10" s="43" t="s">
        <v>683</v>
      </c>
      <c r="M10" s="23" t="str">
        <f t="shared" si="0"/>
        <v xml:space="preserve">             nickName                      VARCHAR(256)                                                ,</v>
      </c>
      <c r="V10" s="23" t="str">
        <f t="shared" si="1"/>
        <v xml:space="preserve">      NICKNAME                      AS nickname                   /* 별명 */                      </v>
      </c>
    </row>
    <row r="11" spans="1:22">
      <c r="A11" s="59">
        <v>5</v>
      </c>
      <c r="B11" s="91" t="s">
        <v>679</v>
      </c>
      <c r="C11" s="91" t="s">
        <v>276</v>
      </c>
      <c r="D11" s="17" t="s">
        <v>275</v>
      </c>
      <c r="E11" s="33">
        <v>256</v>
      </c>
      <c r="F11" s="35"/>
      <c r="G11" s="33"/>
      <c r="H11" s="33"/>
      <c r="I11" s="35"/>
      <c r="J11" s="35"/>
      <c r="K11" s="43" t="s">
        <v>683</v>
      </c>
      <c r="M11" s="23" t="str">
        <f t="shared" si="0"/>
        <v xml:space="preserve">             phoneNumber                   VARCHAR(256)                                                ,</v>
      </c>
      <c r="V11" s="23" t="str">
        <f t="shared" si="1"/>
        <v xml:space="preserve">      PHONENUMBER                   AS phonenumber                /* 전화번호 */                    </v>
      </c>
    </row>
    <row r="12" spans="1:22">
      <c r="A12" s="59">
        <v>6</v>
      </c>
      <c r="B12" s="91" t="s">
        <v>680</v>
      </c>
      <c r="C12" s="91" t="s">
        <v>669</v>
      </c>
      <c r="D12" s="17" t="s">
        <v>275</v>
      </c>
      <c r="E12" s="33">
        <v>256</v>
      </c>
      <c r="F12" s="33"/>
      <c r="G12" s="33"/>
      <c r="H12" s="33"/>
      <c r="I12" s="35"/>
      <c r="J12" s="35"/>
      <c r="K12" s="43" t="s">
        <v>683</v>
      </c>
      <c r="M12" s="23" t="str">
        <f t="shared" si="0"/>
        <v xml:space="preserve">             emailAddress                  VARCHAR(256)                                                ,</v>
      </c>
      <c r="V12" s="23" t="str">
        <f t="shared" si="1"/>
        <v xml:space="preserve">      EMAILADDRESS                  AS emailaddress               /* 이메일주소 */                   </v>
      </c>
    </row>
    <row r="13" spans="1:22">
      <c r="A13" s="59">
        <v>7</v>
      </c>
      <c r="B13" s="91" t="s">
        <v>681</v>
      </c>
      <c r="C13" s="91" t="s">
        <v>670</v>
      </c>
      <c r="D13" s="17" t="s">
        <v>275</v>
      </c>
      <c r="E13" s="33">
        <v>256</v>
      </c>
      <c r="F13" s="35"/>
      <c r="G13" s="33"/>
      <c r="H13" s="33"/>
      <c r="I13" s="35"/>
      <c r="J13" s="35"/>
      <c r="K13" s="43" t="s">
        <v>683</v>
      </c>
      <c r="M13" s="23" t="str">
        <f t="shared" si="0"/>
        <v xml:space="preserve">             photoPath                     VARCHAR(256)                                                ,</v>
      </c>
      <c r="V13" s="23" t="str">
        <f t="shared" si="1"/>
        <v xml:space="preserve">      PHOTOPATH                     AS photopath                  /* 사진경로 */                    </v>
      </c>
    </row>
    <row r="14" spans="1:22" ht="21.6">
      <c r="A14" s="59">
        <v>8</v>
      </c>
      <c r="B14" s="92" t="s">
        <v>716</v>
      </c>
      <c r="C14" s="92" t="s">
        <v>714</v>
      </c>
      <c r="D14" s="17" t="s">
        <v>275</v>
      </c>
      <c r="E14" s="33">
        <v>256</v>
      </c>
      <c r="F14" s="33"/>
      <c r="G14" s="33"/>
      <c r="H14" s="33"/>
      <c r="I14" s="35"/>
      <c r="J14" s="35"/>
      <c r="K14" s="43"/>
      <c r="M14" s="23" t="str">
        <f t="shared" si="0"/>
        <v xml:space="preserve">             contractStartDate             VARCHAR(256)                                                ,</v>
      </c>
      <c r="V14" s="23" t="str">
        <f t="shared" si="1"/>
        <v xml:space="preserve">      CONTRACTSTARTDATE             AS contractstartdate          /* 계약시작일 */                   </v>
      </c>
    </row>
    <row r="15" spans="1:22" ht="21.6">
      <c r="A15" s="59">
        <v>9</v>
      </c>
      <c r="B15" s="92" t="s">
        <v>717</v>
      </c>
      <c r="C15" s="91" t="s">
        <v>715</v>
      </c>
      <c r="D15" s="17" t="s">
        <v>275</v>
      </c>
      <c r="E15" s="33">
        <v>256</v>
      </c>
      <c r="F15" s="35"/>
      <c r="G15" s="33"/>
      <c r="H15" s="33"/>
      <c r="I15" s="35"/>
      <c r="J15" s="35"/>
      <c r="K15" s="43"/>
      <c r="M15" s="23" t="str">
        <f t="shared" si="0"/>
        <v xml:space="preserve">             contractEndDate               VARCHAR(256)                                                ,</v>
      </c>
      <c r="V15" s="23" t="str">
        <f t="shared" si="1"/>
        <v xml:space="preserve">      CONTRACTENDDATE               AS contractenddate            /* 계약종료일 */                   </v>
      </c>
    </row>
    <row r="16" spans="1:22">
      <c r="A16" s="59">
        <v>10</v>
      </c>
      <c r="B16" s="92" t="s">
        <v>709</v>
      </c>
      <c r="C16" s="92" t="s">
        <v>707</v>
      </c>
      <c r="D16" s="17" t="s">
        <v>275</v>
      </c>
      <c r="E16" s="33">
        <v>1</v>
      </c>
      <c r="F16" s="33"/>
      <c r="G16" s="33"/>
      <c r="H16" s="33"/>
      <c r="I16" s="35"/>
      <c r="J16" s="35"/>
      <c r="K16" s="43" t="s">
        <v>711</v>
      </c>
      <c r="M16" s="23" t="str">
        <f t="shared" si="0"/>
        <v xml:space="preserve">             useAt                         VARCHAR(1)                                                  ,</v>
      </c>
      <c r="V16" s="23" t="str">
        <f t="shared" si="1"/>
        <v xml:space="preserve">      USEAT                         AS useat                      /* 사용여부 */                    </v>
      </c>
    </row>
    <row r="17" spans="1:22">
      <c r="A17" s="59">
        <v>11</v>
      </c>
      <c r="B17" s="91" t="s">
        <v>710</v>
      </c>
      <c r="C17" s="91" t="s">
        <v>708</v>
      </c>
      <c r="D17" s="17" t="s">
        <v>275</v>
      </c>
      <c r="E17" s="33">
        <v>1</v>
      </c>
      <c r="F17" s="35"/>
      <c r="G17" s="33"/>
      <c r="H17" s="33"/>
      <c r="I17" s="35"/>
      <c r="J17" s="35"/>
      <c r="K17" s="43" t="s">
        <v>711</v>
      </c>
      <c r="M17" s="23" t="str">
        <f t="shared" si="0"/>
        <v xml:space="preserve">             delAt                         VARCHAR(1)                                                  ,</v>
      </c>
      <c r="V17" s="23" t="str">
        <f t="shared" si="1"/>
        <v xml:space="preserve">      DELAT                         AS delat                      /* 삭제여부 */                    </v>
      </c>
    </row>
    <row r="18" spans="1:22">
      <c r="A18" s="59">
        <v>12</v>
      </c>
      <c r="B18" s="92" t="s">
        <v>671</v>
      </c>
      <c r="C18" s="92" t="s">
        <v>635</v>
      </c>
      <c r="D18" s="17" t="s">
        <v>275</v>
      </c>
      <c r="E18" s="33">
        <v>256</v>
      </c>
      <c r="F18" s="33"/>
      <c r="G18" s="33"/>
      <c r="H18" s="33"/>
      <c r="I18" s="35"/>
      <c r="J18" s="35"/>
      <c r="K18" s="43"/>
      <c r="M18" s="23" t="str">
        <f t="shared" si="0"/>
        <v xml:space="preserve">             createId                      VARCHAR(256)                                                ,</v>
      </c>
      <c r="V18" s="23" t="str">
        <f t="shared" si="1"/>
        <v xml:space="preserve">      CREATEID                      AS createid                   /* 생성자 */                     </v>
      </c>
    </row>
    <row r="19" spans="1:22">
      <c r="A19" s="59">
        <v>13</v>
      </c>
      <c r="B19" s="91" t="s">
        <v>674</v>
      </c>
      <c r="C19" s="91" t="s">
        <v>636</v>
      </c>
      <c r="D19" s="17" t="s">
        <v>275</v>
      </c>
      <c r="E19" s="33">
        <v>256</v>
      </c>
      <c r="F19" s="35"/>
      <c r="G19" s="33"/>
      <c r="H19" s="33"/>
      <c r="I19" s="35"/>
      <c r="J19" s="35"/>
      <c r="K19" s="43"/>
      <c r="M19" s="23" t="str">
        <f t="shared" si="0"/>
        <v xml:space="preserve">             createDate                    VARCHAR(256)                                                ,</v>
      </c>
      <c r="V19" s="23" t="str">
        <f t="shared" si="1"/>
        <v xml:space="preserve">      CREATEDATE                    AS createdate                 /* 생성 일시 */                   </v>
      </c>
    </row>
    <row r="20" spans="1:22">
      <c r="A20" s="59">
        <v>14</v>
      </c>
      <c r="B20" s="91" t="s">
        <v>672</v>
      </c>
      <c r="C20" s="91" t="s">
        <v>682</v>
      </c>
      <c r="D20" s="33" t="s">
        <v>275</v>
      </c>
      <c r="E20" s="33">
        <v>256</v>
      </c>
      <c r="F20" s="33"/>
      <c r="G20" s="33"/>
      <c r="H20" s="33"/>
      <c r="I20" s="35"/>
      <c r="J20" s="35"/>
      <c r="K20" s="90"/>
      <c r="M20" s="23" t="str">
        <f t="shared" si="0"/>
        <v xml:space="preserve">             updateId                      VARCHAR(256)                                                ,</v>
      </c>
      <c r="V20" s="23" t="str">
        <f t="shared" si="1"/>
        <v xml:space="preserve">      UPDATEID                      AS updateid                   /* 수정자 */                     </v>
      </c>
    </row>
    <row r="21" spans="1:22">
      <c r="A21" s="59">
        <v>15</v>
      </c>
      <c r="B21" s="91" t="s">
        <v>673</v>
      </c>
      <c r="C21" s="91" t="s">
        <v>637</v>
      </c>
      <c r="D21" s="17" t="s">
        <v>275</v>
      </c>
      <c r="E21" s="33">
        <v>256</v>
      </c>
      <c r="F21" s="35"/>
      <c r="G21" s="33"/>
      <c r="H21" s="33"/>
      <c r="I21" s="35"/>
      <c r="J21" s="35"/>
      <c r="K21" s="90"/>
      <c r="M21" s="23" t="str">
        <f t="shared" si="0"/>
        <v xml:space="preserve">             updateDate                    VARCHAR(256)                                                </v>
      </c>
      <c r="V21" s="23" t="str">
        <f t="shared" si="1"/>
        <v xml:space="preserve">      UPDATEDATE                    AS updatedate                 /* 갱신 일시 */                   </v>
      </c>
    </row>
    <row r="22" spans="1:22">
      <c r="A22" s="59">
        <v>16</v>
      </c>
      <c r="B22" s="91"/>
      <c r="C22" s="91"/>
      <c r="D22" s="33"/>
      <c r="E22" s="33"/>
      <c r="F22" s="35"/>
      <c r="G22" s="33"/>
      <c r="H22" s="33"/>
      <c r="I22" s="35"/>
      <c r="J22" s="35"/>
      <c r="K22" s="90"/>
      <c r="M22" s="23" t="str">
        <f t="shared" si="0"/>
        <v xml:space="preserve">             --16</v>
      </c>
      <c r="V22" s="23" t="str">
        <f t="shared" si="1"/>
        <v xml:space="preserve">      --16</v>
      </c>
    </row>
    <row r="23" spans="1:22">
      <c r="A23" s="59">
        <v>17</v>
      </c>
      <c r="B23" s="91"/>
      <c r="C23" s="91"/>
      <c r="D23" s="33"/>
      <c r="E23" s="33"/>
      <c r="F23" s="33"/>
      <c r="G23" s="33"/>
      <c r="H23" s="33"/>
      <c r="I23" s="35"/>
      <c r="J23" s="35"/>
      <c r="K23" s="90"/>
      <c r="M23" s="23" t="str">
        <f t="shared" si="0"/>
        <v xml:space="preserve">             --17</v>
      </c>
      <c r="V23" s="23" t="str">
        <f t="shared" si="1"/>
        <v xml:space="preserve">      --17</v>
      </c>
    </row>
    <row r="24" spans="1:22">
      <c r="A24" s="59">
        <v>18</v>
      </c>
      <c r="B24" s="91"/>
      <c r="C24" s="2"/>
      <c r="D24" s="38"/>
      <c r="E24" s="39"/>
      <c r="F24" s="33"/>
      <c r="G24" s="33"/>
      <c r="H24" s="33"/>
      <c r="I24" s="93"/>
      <c r="J24" s="93"/>
      <c r="K24" s="19"/>
      <c r="M24" s="23" t="str">
        <f t="shared" si="0"/>
        <v xml:space="preserve">             --18</v>
      </c>
      <c r="V24" s="23" t="str">
        <f t="shared" si="1"/>
        <v xml:space="preserve">      --18</v>
      </c>
    </row>
    <row r="25" spans="1:22">
      <c r="A25" s="59">
        <v>19</v>
      </c>
      <c r="B25" s="92"/>
      <c r="C25" s="92"/>
      <c r="D25" s="33"/>
      <c r="E25" s="33"/>
      <c r="F25" s="33"/>
      <c r="G25" s="33"/>
      <c r="H25" s="33"/>
      <c r="I25" s="93"/>
      <c r="J25" s="93"/>
      <c r="K25" s="19"/>
      <c r="M25" s="23" t="str">
        <f t="shared" si="0"/>
        <v xml:space="preserve">             --19</v>
      </c>
      <c r="V25" s="23" t="str">
        <f t="shared" si="1"/>
        <v xml:space="preserve">      --19</v>
      </c>
    </row>
    <row r="26" spans="1:22">
      <c r="A26" s="59">
        <v>20</v>
      </c>
      <c r="B26" s="91"/>
      <c r="C26" s="91"/>
      <c r="D26" s="33"/>
      <c r="E26" s="33"/>
      <c r="F26" s="33"/>
      <c r="G26" s="33"/>
      <c r="H26" s="33"/>
      <c r="I26" s="35"/>
      <c r="J26" s="35"/>
      <c r="K26" s="90"/>
      <c r="M26" s="23" t="str">
        <f t="shared" si="0"/>
        <v xml:space="preserve">             --20</v>
      </c>
      <c r="V26" s="23" t="str">
        <f t="shared" si="1"/>
        <v xml:space="preserve">      --20</v>
      </c>
    </row>
    <row r="27" spans="1:22">
      <c r="A27" s="59">
        <v>21</v>
      </c>
      <c r="B27" s="91"/>
      <c r="C27" s="2"/>
      <c r="D27" s="38"/>
      <c r="E27" s="39"/>
      <c r="F27" s="33"/>
      <c r="G27" s="33"/>
      <c r="H27" s="33"/>
      <c r="I27" s="93"/>
      <c r="J27" s="93"/>
      <c r="K27" s="19"/>
      <c r="M27" s="23" t="str">
        <f t="shared" si="0"/>
        <v xml:space="preserve">             --21</v>
      </c>
      <c r="V27" s="23" t="str">
        <f t="shared" si="1"/>
        <v xml:space="preserve">      --21</v>
      </c>
    </row>
    <row r="28" spans="1:22">
      <c r="A28" s="59">
        <v>22</v>
      </c>
      <c r="B28" s="92"/>
      <c r="C28" s="92"/>
      <c r="D28" s="33"/>
      <c r="E28" s="33"/>
      <c r="F28" s="33"/>
      <c r="G28" s="33"/>
      <c r="H28" s="33"/>
      <c r="I28" s="93"/>
      <c r="J28" s="93"/>
      <c r="K28" s="19"/>
      <c r="M28" s="23" t="str">
        <f t="shared" si="0"/>
        <v xml:space="preserve">             --22</v>
      </c>
      <c r="V28" s="23" t="str">
        <f t="shared" si="1"/>
        <v xml:space="preserve">      --22</v>
      </c>
    </row>
    <row r="29" spans="1:22">
      <c r="A29" s="59">
        <v>23</v>
      </c>
      <c r="B29" s="91"/>
      <c r="C29" s="91"/>
      <c r="D29" s="33"/>
      <c r="E29" s="33"/>
      <c r="F29" s="33"/>
      <c r="G29" s="33"/>
      <c r="H29" s="33"/>
      <c r="I29" s="35"/>
      <c r="J29" s="35"/>
      <c r="K29" s="90"/>
      <c r="M29" s="23" t="str">
        <f t="shared" si="0"/>
        <v xml:space="preserve">             --23</v>
      </c>
      <c r="V29" s="23" t="str">
        <f t="shared" si="1"/>
        <v xml:space="preserve">      --23</v>
      </c>
    </row>
    <row r="30" spans="1:22">
      <c r="A30" s="59">
        <v>24</v>
      </c>
      <c r="B30" s="91"/>
      <c r="C30" s="2"/>
      <c r="D30" s="38"/>
      <c r="E30" s="39"/>
      <c r="F30" s="33"/>
      <c r="G30" s="33"/>
      <c r="H30" s="33"/>
      <c r="I30" s="93"/>
      <c r="J30" s="93"/>
      <c r="K30" s="19"/>
      <c r="M30" s="23" t="str">
        <f t="shared" si="0"/>
        <v xml:space="preserve">             --24</v>
      </c>
      <c r="V30" s="23" t="str">
        <f t="shared" si="1"/>
        <v xml:space="preserve">      --24</v>
      </c>
    </row>
    <row r="31" spans="1:22">
      <c r="A31" s="59">
        <v>25</v>
      </c>
      <c r="B31" s="92"/>
      <c r="C31" s="92"/>
      <c r="D31" s="33"/>
      <c r="E31" s="33"/>
      <c r="F31" s="33"/>
      <c r="G31" s="33"/>
      <c r="H31" s="33"/>
      <c r="I31" s="93"/>
      <c r="J31" s="93"/>
      <c r="K31" s="19"/>
      <c r="M31" s="23" t="str">
        <f t="shared" si="0"/>
        <v xml:space="preserve">             --25</v>
      </c>
      <c r="V31" s="23" t="str">
        <f t="shared" si="1"/>
        <v xml:space="preserve">      --25</v>
      </c>
    </row>
    <row r="32" spans="1:22">
      <c r="A32" s="59">
        <v>26</v>
      </c>
      <c r="B32" s="91"/>
      <c r="C32" s="91"/>
      <c r="D32" s="33"/>
      <c r="E32" s="33"/>
      <c r="F32" s="33"/>
      <c r="G32" s="33"/>
      <c r="H32" s="33"/>
      <c r="I32" s="35"/>
      <c r="J32" s="35"/>
      <c r="K32" s="90"/>
      <c r="M32" s="23" t="str">
        <f t="shared" si="0"/>
        <v xml:space="preserve">             --26</v>
      </c>
      <c r="V32" s="23" t="str">
        <f t="shared" si="1"/>
        <v xml:space="preserve">      --26</v>
      </c>
    </row>
    <row r="33" spans="1:22">
      <c r="A33" s="59">
        <v>27</v>
      </c>
      <c r="B33" s="91"/>
      <c r="C33" s="91"/>
      <c r="D33" s="33"/>
      <c r="E33" s="33"/>
      <c r="F33" s="33"/>
      <c r="G33" s="33"/>
      <c r="H33" s="33"/>
      <c r="I33" s="35"/>
      <c r="J33" s="35"/>
      <c r="K33" s="90"/>
      <c r="M33" s="23" t="str">
        <f t="shared" si="0"/>
        <v xml:space="preserve">             --27</v>
      </c>
      <c r="V33" s="23" t="str">
        <f t="shared" si="1"/>
        <v xml:space="preserve">      --27</v>
      </c>
    </row>
    <row r="34" spans="1:22">
      <c r="A34" s="59">
        <v>28</v>
      </c>
      <c r="B34" s="91"/>
      <c r="C34" s="91"/>
      <c r="D34" s="33"/>
      <c r="E34" s="33"/>
      <c r="F34" s="33"/>
      <c r="G34" s="33"/>
      <c r="H34" s="33"/>
      <c r="I34" s="35"/>
      <c r="J34" s="35"/>
      <c r="K34" s="90"/>
      <c r="M34" s="23" t="str">
        <f t="shared" si="0"/>
        <v xml:space="preserve">             --28</v>
      </c>
      <c r="V34" s="23" t="str">
        <f t="shared" si="1"/>
        <v xml:space="preserve">      --28</v>
      </c>
    </row>
    <row r="35" spans="1:22">
      <c r="A35" s="59">
        <v>29</v>
      </c>
      <c r="B35" s="91"/>
      <c r="C35" s="91"/>
      <c r="D35" s="33"/>
      <c r="E35" s="33"/>
      <c r="F35" s="33"/>
      <c r="G35" s="33"/>
      <c r="H35" s="33"/>
      <c r="I35" s="35"/>
      <c r="J35" s="35"/>
      <c r="K35" s="90"/>
      <c r="M35" s="23" t="str">
        <f t="shared" si="0"/>
        <v xml:space="preserve">             --29</v>
      </c>
      <c r="V35" s="23" t="str">
        <f t="shared" si="1"/>
        <v xml:space="preserve">      --29</v>
      </c>
    </row>
    <row r="36" spans="1:22">
      <c r="A36" s="59">
        <v>30</v>
      </c>
      <c r="B36" s="91"/>
      <c r="C36" s="2"/>
      <c r="D36" s="38"/>
      <c r="E36" s="39"/>
      <c r="F36" s="33"/>
      <c r="G36" s="33"/>
      <c r="H36" s="33"/>
      <c r="I36" s="93"/>
      <c r="J36" s="93"/>
      <c r="K36" s="19"/>
      <c r="M36" s="23" t="str">
        <f t="shared" si="0"/>
        <v xml:space="preserve">             --30</v>
      </c>
      <c r="V36" s="23" t="str">
        <f t="shared" si="1"/>
        <v xml:space="preserve">      --30</v>
      </c>
    </row>
    <row r="37" spans="1:22">
      <c r="A37" s="59">
        <v>31</v>
      </c>
      <c r="B37" s="92"/>
      <c r="C37" s="92"/>
      <c r="D37" s="33"/>
      <c r="E37" s="33"/>
      <c r="F37" s="33"/>
      <c r="G37" s="33"/>
      <c r="H37" s="33"/>
      <c r="I37" s="93"/>
      <c r="J37" s="93"/>
      <c r="K37" s="19"/>
      <c r="M37" s="23" t="str">
        <f t="shared" si="0"/>
        <v xml:space="preserve">             --31</v>
      </c>
      <c r="V37" s="23" t="str">
        <f t="shared" si="1"/>
        <v xml:space="preserve">      --31</v>
      </c>
    </row>
    <row r="38" spans="1:22">
      <c r="A38" s="59">
        <v>32</v>
      </c>
      <c r="B38" s="91"/>
      <c r="C38" s="91"/>
      <c r="D38" s="33"/>
      <c r="E38" s="33"/>
      <c r="F38" s="33"/>
      <c r="G38" s="33"/>
      <c r="H38" s="33"/>
      <c r="I38" s="35"/>
      <c r="J38" s="35"/>
      <c r="K38" s="90"/>
      <c r="M38" s="23" t="str">
        <f t="shared" si="0"/>
        <v xml:space="preserve">             --32</v>
      </c>
      <c r="V38" s="23" t="str">
        <f t="shared" si="1"/>
        <v xml:space="preserve">      --32</v>
      </c>
    </row>
    <row r="39" spans="1:22">
      <c r="A39" s="59">
        <v>33</v>
      </c>
      <c r="B39" s="91"/>
      <c r="C39" s="2"/>
      <c r="D39" s="38"/>
      <c r="E39" s="39"/>
      <c r="F39" s="33"/>
      <c r="G39" s="33"/>
      <c r="H39" s="33"/>
      <c r="I39" s="93"/>
      <c r="J39" s="93"/>
      <c r="K39" s="19"/>
      <c r="M39" s="23" t="str">
        <f t="shared" si="0"/>
        <v xml:space="preserve">             --33</v>
      </c>
      <c r="V39" s="23" t="str">
        <f t="shared" si="1"/>
        <v xml:space="preserve">      --33</v>
      </c>
    </row>
    <row r="40" spans="1:22">
      <c r="A40" s="59">
        <v>34</v>
      </c>
      <c r="B40" s="92"/>
      <c r="C40" s="92"/>
      <c r="D40" s="33"/>
      <c r="E40" s="33"/>
      <c r="F40" s="33"/>
      <c r="G40" s="33"/>
      <c r="H40" s="33"/>
      <c r="I40" s="93"/>
      <c r="J40" s="93"/>
      <c r="K40" s="19"/>
      <c r="M40" s="23" t="str">
        <f t="shared" si="0"/>
        <v xml:space="preserve">             --34</v>
      </c>
      <c r="V40" s="23" t="str">
        <f t="shared" si="1"/>
        <v xml:space="preserve">      --34</v>
      </c>
    </row>
    <row r="41" spans="1:22">
      <c r="A41" s="59">
        <v>35</v>
      </c>
      <c r="B41" s="91"/>
      <c r="C41" s="91"/>
      <c r="D41" s="33"/>
      <c r="E41" s="33"/>
      <c r="F41" s="33"/>
      <c r="G41" s="33"/>
      <c r="H41" s="33"/>
      <c r="I41" s="35"/>
      <c r="J41" s="35"/>
      <c r="K41" s="90"/>
      <c r="M41" s="23" t="str">
        <f t="shared" si="0"/>
        <v xml:space="preserve">             --35</v>
      </c>
      <c r="V41" s="23" t="str">
        <f t="shared" si="1"/>
        <v xml:space="preserve">      --35</v>
      </c>
    </row>
    <row r="42" spans="1:22">
      <c r="A42" s="59">
        <v>36</v>
      </c>
      <c r="B42" s="91"/>
      <c r="C42" s="2"/>
      <c r="D42" s="38"/>
      <c r="E42" s="39"/>
      <c r="F42" s="33"/>
      <c r="G42" s="33"/>
      <c r="H42" s="33"/>
      <c r="I42" s="93"/>
      <c r="J42" s="93"/>
      <c r="K42" s="19"/>
      <c r="M42" s="23" t="str">
        <f t="shared" si="0"/>
        <v xml:space="preserve">             --36</v>
      </c>
      <c r="V42" s="23" t="str">
        <f t="shared" si="1"/>
        <v xml:space="preserve">      --36</v>
      </c>
    </row>
    <row r="43" spans="1:22">
      <c r="A43" s="59">
        <v>37</v>
      </c>
      <c r="B43" s="92"/>
      <c r="C43" s="92"/>
      <c r="D43" s="33"/>
      <c r="E43" s="33"/>
      <c r="F43" s="33"/>
      <c r="G43" s="33"/>
      <c r="H43" s="33"/>
      <c r="I43" s="93"/>
      <c r="J43" s="93"/>
      <c r="K43" s="19"/>
      <c r="M43" s="23" t="str">
        <f t="shared" si="0"/>
        <v xml:space="preserve">             --37</v>
      </c>
      <c r="V43" s="23" t="str">
        <f t="shared" si="1"/>
        <v xml:space="preserve">      --37</v>
      </c>
    </row>
    <row r="44" spans="1:22">
      <c r="A44" s="59">
        <v>38</v>
      </c>
      <c r="B44" s="91"/>
      <c r="C44" s="91"/>
      <c r="D44" s="33"/>
      <c r="E44" s="33"/>
      <c r="F44" s="33"/>
      <c r="G44" s="33"/>
      <c r="H44" s="33"/>
      <c r="I44" s="35"/>
      <c r="J44" s="35"/>
      <c r="K44" s="90"/>
      <c r="M44" s="23" t="str">
        <f t="shared" si="0"/>
        <v xml:space="preserve">             --38</v>
      </c>
      <c r="V44" s="23" t="str">
        <f t="shared" si="1"/>
        <v xml:space="preserve">      --38</v>
      </c>
    </row>
    <row r="45" spans="1:22">
      <c r="A45" s="59">
        <v>39</v>
      </c>
      <c r="B45" s="91"/>
      <c r="C45" s="91"/>
      <c r="D45" s="33"/>
      <c r="E45" s="33"/>
      <c r="F45" s="33"/>
      <c r="G45" s="33"/>
      <c r="H45" s="33"/>
      <c r="I45" s="35"/>
      <c r="J45" s="35"/>
      <c r="K45" s="90"/>
      <c r="M45" s="23" t="str">
        <f t="shared" si="0"/>
        <v xml:space="preserve">             --39</v>
      </c>
      <c r="V45" s="23" t="str">
        <f t="shared" si="1"/>
        <v xml:space="preserve">      --39</v>
      </c>
    </row>
    <row r="46" spans="1:22">
      <c r="A46" s="59">
        <v>40</v>
      </c>
      <c r="B46" s="91"/>
      <c r="C46" s="91"/>
      <c r="D46" s="33"/>
      <c r="E46" s="33"/>
      <c r="F46" s="33"/>
      <c r="G46" s="33"/>
      <c r="H46" s="33"/>
      <c r="I46" s="35"/>
      <c r="J46" s="35"/>
      <c r="K46" s="90"/>
      <c r="M46" s="23" t="str">
        <f t="shared" si="0"/>
        <v xml:space="preserve">             --40</v>
      </c>
      <c r="V46" s="23" t="str">
        <f t="shared" si="1"/>
        <v xml:space="preserve">      --40</v>
      </c>
    </row>
    <row r="47" spans="1:22">
      <c r="A47" s="59">
        <v>41</v>
      </c>
      <c r="B47" s="92"/>
      <c r="C47" s="92"/>
      <c r="D47" s="33"/>
      <c r="E47" s="33"/>
      <c r="F47" s="33"/>
      <c r="G47" s="33"/>
      <c r="H47" s="33"/>
      <c r="I47" s="93"/>
      <c r="J47" s="93"/>
      <c r="K47" s="19"/>
      <c r="M47" s="23" t="str">
        <f t="shared" si="0"/>
        <v xml:space="preserve">             --41</v>
      </c>
      <c r="V47" s="23" t="str">
        <f t="shared" si="1"/>
        <v xml:space="preserve">      --41</v>
      </c>
    </row>
    <row r="48" spans="1:22">
      <c r="A48" s="59">
        <v>42</v>
      </c>
      <c r="B48" s="92"/>
      <c r="C48" s="92"/>
      <c r="D48" s="33"/>
      <c r="E48" s="33"/>
      <c r="F48" s="33"/>
      <c r="G48" s="33"/>
      <c r="H48" s="33"/>
      <c r="I48" s="93"/>
      <c r="J48" s="93"/>
      <c r="K48" s="19"/>
      <c r="M48" s="23" t="str">
        <f t="shared" si="0"/>
        <v xml:space="preserve">             --42</v>
      </c>
      <c r="V48" s="23" t="str">
        <f t="shared" si="1"/>
        <v xml:space="preserve">      --42</v>
      </c>
    </row>
    <row r="49" spans="1:22">
      <c r="A49" s="59">
        <v>43</v>
      </c>
      <c r="B49" s="92"/>
      <c r="C49" s="92"/>
      <c r="D49" s="33"/>
      <c r="E49" s="33"/>
      <c r="F49" s="33"/>
      <c r="G49" s="33"/>
      <c r="H49" s="33"/>
      <c r="I49" s="93"/>
      <c r="J49" s="93"/>
      <c r="K49" s="19"/>
      <c r="M49" s="23" t="str">
        <f t="shared" si="0"/>
        <v xml:space="preserve">             --43</v>
      </c>
      <c r="V49" s="23" t="str">
        <f t="shared" si="1"/>
        <v xml:space="preserve">      --43</v>
      </c>
    </row>
    <row r="50" spans="1:22">
      <c r="A50" s="59">
        <v>44</v>
      </c>
      <c r="B50" s="92"/>
      <c r="C50" s="92"/>
      <c r="D50" s="33"/>
      <c r="E50" s="33"/>
      <c r="F50" s="33"/>
      <c r="G50" s="33"/>
      <c r="H50" s="33"/>
      <c r="I50" s="93"/>
      <c r="J50" s="93"/>
      <c r="K50" s="19"/>
      <c r="M50" s="23" t="str">
        <f t="shared" si="0"/>
        <v xml:space="preserve">             --44</v>
      </c>
      <c r="V50" s="23" t="str">
        <f t="shared" si="1"/>
        <v xml:space="preserve">      --44</v>
      </c>
    </row>
    <row r="51" spans="1:22">
      <c r="A51" s="59">
        <v>45</v>
      </c>
      <c r="B51" s="92"/>
      <c r="C51" s="92"/>
      <c r="D51" s="33"/>
      <c r="E51" s="33"/>
      <c r="F51" s="33"/>
      <c r="G51" s="33"/>
      <c r="H51" s="33"/>
      <c r="I51" s="93"/>
      <c r="J51" s="93"/>
      <c r="K51" s="19"/>
      <c r="M51" s="23" t="str">
        <f t="shared" si="0"/>
        <v xml:space="preserve">             --45</v>
      </c>
      <c r="V51" s="23" t="str">
        <f t="shared" si="1"/>
        <v xml:space="preserve">      --45</v>
      </c>
    </row>
    <row r="52" spans="1:22">
      <c r="A52" s="59">
        <v>46</v>
      </c>
      <c r="B52" s="92"/>
      <c r="C52" s="92"/>
      <c r="D52" s="33"/>
      <c r="E52" s="33"/>
      <c r="F52" s="33"/>
      <c r="G52" s="33"/>
      <c r="H52" s="33"/>
      <c r="I52" s="93"/>
      <c r="J52" s="93"/>
      <c r="K52" s="19"/>
      <c r="M52" s="23" t="str">
        <f t="shared" si="0"/>
        <v xml:space="preserve">             --46</v>
      </c>
      <c r="V52" s="23" t="str">
        <f t="shared" si="1"/>
        <v xml:space="preserve">      --46</v>
      </c>
    </row>
    <row r="53" spans="1:22">
      <c r="A53" s="59">
        <v>47</v>
      </c>
      <c r="B53" s="92"/>
      <c r="C53" s="92"/>
      <c r="D53" s="33"/>
      <c r="E53" s="33"/>
      <c r="F53" s="33"/>
      <c r="G53" s="33"/>
      <c r="H53" s="33"/>
      <c r="I53" s="93"/>
      <c r="J53" s="93"/>
      <c r="K53" s="19"/>
      <c r="M53" s="23" t="str">
        <f t="shared" si="0"/>
        <v xml:space="preserve">             --47</v>
      </c>
      <c r="V53" s="23" t="str">
        <f t="shared" si="1"/>
        <v xml:space="preserve">      --47</v>
      </c>
    </row>
    <row r="54" spans="1:22">
      <c r="A54" s="59">
        <v>48</v>
      </c>
      <c r="B54" s="92"/>
      <c r="C54" s="92"/>
      <c r="D54" s="33"/>
      <c r="E54" s="33"/>
      <c r="F54" s="33"/>
      <c r="G54" s="33"/>
      <c r="H54" s="33"/>
      <c r="I54" s="93"/>
      <c r="J54" s="93"/>
      <c r="K54" s="19"/>
      <c r="M54" s="23" t="str">
        <f t="shared" si="0"/>
        <v xml:space="preserve">             --48</v>
      </c>
      <c r="V54" s="23" t="str">
        <f t="shared" si="1"/>
        <v xml:space="preserve">      --48</v>
      </c>
    </row>
    <row r="55" spans="1:22">
      <c r="A55" s="59">
        <v>49</v>
      </c>
      <c r="B55" s="92"/>
      <c r="C55" s="92"/>
      <c r="D55" s="33"/>
      <c r="E55" s="33"/>
      <c r="F55" s="33"/>
      <c r="G55" s="33"/>
      <c r="H55" s="33"/>
      <c r="I55" s="93"/>
      <c r="J55" s="93"/>
      <c r="K55" s="19"/>
      <c r="M55" s="23" t="str">
        <f t="shared" si="0"/>
        <v xml:space="preserve">             --49</v>
      </c>
      <c r="V55" s="23" t="str">
        <f t="shared" si="1"/>
        <v xml:space="preserve">      --49</v>
      </c>
    </row>
    <row r="56" spans="1:22">
      <c r="A56" s="59">
        <v>50</v>
      </c>
      <c r="B56" s="92"/>
      <c r="C56" s="92"/>
      <c r="D56" s="33"/>
      <c r="E56" s="33"/>
      <c r="F56" s="33"/>
      <c r="G56" s="33"/>
      <c r="H56" s="33"/>
      <c r="I56" s="93"/>
      <c r="J56" s="93"/>
      <c r="K56" s="19"/>
      <c r="M56" s="23" t="str">
        <f t="shared" si="0"/>
        <v xml:space="preserve">             --50</v>
      </c>
      <c r="V56" s="23" t="str">
        <f t="shared" si="1"/>
        <v xml:space="preserve">      --50</v>
      </c>
    </row>
    <row r="57" spans="1:22">
      <c r="A57" s="59">
        <v>51</v>
      </c>
      <c r="B57" s="92"/>
      <c r="C57" s="92"/>
      <c r="D57" s="33"/>
      <c r="E57" s="33"/>
      <c r="F57" s="33"/>
      <c r="G57" s="33"/>
      <c r="H57" s="33"/>
      <c r="I57" s="93"/>
      <c r="J57" s="93"/>
      <c r="K57" s="19"/>
      <c r="M57" s="23" t="str">
        <f t="shared" si="0"/>
        <v xml:space="preserve">             --51</v>
      </c>
      <c r="V57" s="23" t="str">
        <f t="shared" si="1"/>
        <v xml:space="preserve">      --51</v>
      </c>
    </row>
    <row r="58" spans="1:22">
      <c r="A58" s="59">
        <v>52</v>
      </c>
      <c r="B58" s="92"/>
      <c r="C58" s="92"/>
      <c r="D58" s="33"/>
      <c r="E58" s="33"/>
      <c r="F58" s="33"/>
      <c r="G58" s="33"/>
      <c r="H58" s="33"/>
      <c r="I58" s="93"/>
      <c r="J58" s="93"/>
      <c r="K58" s="19"/>
      <c r="M58" s="23" t="str">
        <f t="shared" si="0"/>
        <v xml:space="preserve">             --52</v>
      </c>
      <c r="V58" s="23" t="str">
        <f t="shared" si="1"/>
        <v xml:space="preserve">      --52</v>
      </c>
    </row>
    <row r="59" spans="1:22">
      <c r="A59" s="59">
        <v>53</v>
      </c>
      <c r="B59" s="92"/>
      <c r="C59" s="92"/>
      <c r="D59" s="33"/>
      <c r="E59" s="33"/>
      <c r="F59" s="33"/>
      <c r="G59" s="33"/>
      <c r="H59" s="33"/>
      <c r="I59" s="93"/>
      <c r="J59" s="93"/>
      <c r="K59" s="19"/>
      <c r="M59" s="23" t="str">
        <f t="shared" si="0"/>
        <v xml:space="preserve">             --53</v>
      </c>
      <c r="V59" s="23" t="str">
        <f t="shared" si="1"/>
        <v xml:space="preserve">      --53</v>
      </c>
    </row>
    <row r="60" spans="1:22">
      <c r="A60" s="59">
        <v>54</v>
      </c>
      <c r="B60" s="92"/>
      <c r="C60" s="92"/>
      <c r="D60" s="33"/>
      <c r="E60" s="33"/>
      <c r="F60" s="33"/>
      <c r="G60" s="33"/>
      <c r="H60" s="33"/>
      <c r="I60" s="93"/>
      <c r="J60" s="93"/>
      <c r="K60" s="19"/>
      <c r="M60" s="23" t="str">
        <f t="shared" si="0"/>
        <v xml:space="preserve">             --54</v>
      </c>
      <c r="V60" s="23" t="str">
        <f t="shared" si="1"/>
        <v xml:space="preserve">      --54</v>
      </c>
    </row>
    <row r="61" spans="1:22">
      <c r="A61" s="59">
        <v>55</v>
      </c>
      <c r="B61" s="92"/>
      <c r="C61" s="92"/>
      <c r="D61" s="33"/>
      <c r="E61" s="33"/>
      <c r="F61" s="33"/>
      <c r="G61" s="33"/>
      <c r="H61" s="33"/>
      <c r="I61" s="93"/>
      <c r="J61" s="93"/>
      <c r="K61" s="19"/>
      <c r="M61" s="23" t="str">
        <f t="shared" si="0"/>
        <v xml:space="preserve">             --55</v>
      </c>
      <c r="V61" s="23" t="str">
        <f t="shared" si="1"/>
        <v xml:space="preserve">      --55</v>
      </c>
    </row>
    <row r="62" spans="1:22">
      <c r="A62" s="59">
        <v>56</v>
      </c>
      <c r="B62" s="92"/>
      <c r="C62" s="92"/>
      <c r="D62" s="33"/>
      <c r="E62" s="33"/>
      <c r="F62" s="33"/>
      <c r="G62" s="33"/>
      <c r="H62" s="33"/>
      <c r="I62" s="93"/>
      <c r="J62" s="93"/>
      <c r="K62" s="19"/>
      <c r="M62" s="23" t="str">
        <f t="shared" si="0"/>
        <v xml:space="preserve">             --56</v>
      </c>
      <c r="V62" s="23" t="str">
        <f t="shared" si="1"/>
        <v xml:space="preserve">      --56</v>
      </c>
    </row>
    <row r="63" spans="1:22">
      <c r="A63" s="59">
        <v>57</v>
      </c>
      <c r="B63" s="92"/>
      <c r="C63" s="92"/>
      <c r="D63" s="33"/>
      <c r="E63" s="33"/>
      <c r="F63" s="33"/>
      <c r="G63" s="33"/>
      <c r="H63" s="33"/>
      <c r="I63" s="93"/>
      <c r="J63" s="93"/>
      <c r="K63" s="19"/>
      <c r="M63" s="23" t="str">
        <f t="shared" si="0"/>
        <v xml:space="preserve">             --57</v>
      </c>
      <c r="V63" s="23" t="str">
        <f t="shared" si="1"/>
        <v xml:space="preserve">      --57</v>
      </c>
    </row>
    <row r="64" spans="1:22">
      <c r="A64" s="59">
        <v>58</v>
      </c>
      <c r="B64" s="92"/>
      <c r="C64" s="92"/>
      <c r="D64" s="33"/>
      <c r="E64" s="33"/>
      <c r="F64" s="33"/>
      <c r="G64" s="33"/>
      <c r="H64" s="33"/>
      <c r="I64" s="93"/>
      <c r="J64" s="93"/>
      <c r="K64" s="19"/>
      <c r="M64" s="23" t="str">
        <f t="shared" si="0"/>
        <v xml:space="preserve">             --58</v>
      </c>
      <c r="V64" s="23" t="str">
        <f t="shared" si="1"/>
        <v xml:space="preserve">      --58</v>
      </c>
    </row>
    <row r="65" spans="1:22">
      <c r="A65" s="59">
        <v>59</v>
      </c>
      <c r="B65" s="92"/>
      <c r="C65" s="92"/>
      <c r="D65" s="33"/>
      <c r="E65" s="33"/>
      <c r="F65" s="33"/>
      <c r="G65" s="33"/>
      <c r="H65" s="33"/>
      <c r="I65" s="93"/>
      <c r="J65" s="93"/>
      <c r="K65" s="19"/>
      <c r="M65" s="23" t="str">
        <f t="shared" si="0"/>
        <v xml:space="preserve">             --59</v>
      </c>
      <c r="V65" s="23" t="str">
        <f t="shared" si="1"/>
        <v xml:space="preserve">      --59</v>
      </c>
    </row>
    <row r="66" spans="1:22">
      <c r="A66" s="59">
        <v>60</v>
      </c>
      <c r="B66" s="93"/>
      <c r="C66" s="92"/>
      <c r="D66" s="33"/>
      <c r="E66" s="33"/>
      <c r="F66" s="33"/>
      <c r="G66" s="33"/>
      <c r="H66" s="33"/>
      <c r="I66" s="93"/>
      <c r="J66" s="93"/>
      <c r="K66" s="19"/>
      <c r="M66" s="23" t="str">
        <f t="shared" si="0"/>
        <v xml:space="preserve">             --60</v>
      </c>
      <c r="V66" s="23" t="str">
        <f t="shared" si="1"/>
        <v xml:space="preserve">      --60</v>
      </c>
    </row>
    <row r="67" spans="1:22">
      <c r="A67" s="59">
        <v>61</v>
      </c>
      <c r="B67" s="93"/>
      <c r="C67" s="92"/>
      <c r="D67" s="33"/>
      <c r="E67" s="33"/>
      <c r="F67" s="33"/>
      <c r="G67" s="33"/>
      <c r="H67" s="33"/>
      <c r="I67" s="93"/>
      <c r="J67" s="93"/>
      <c r="K67" s="19"/>
      <c r="M67" s="23" t="str">
        <f t="shared" si="0"/>
        <v xml:space="preserve">             --61</v>
      </c>
      <c r="V67" s="23" t="str">
        <f t="shared" si="1"/>
        <v xml:space="preserve">      --61</v>
      </c>
    </row>
    <row r="68" spans="1:22">
      <c r="A68" s="59">
        <v>62</v>
      </c>
      <c r="B68" s="93"/>
      <c r="C68" s="92"/>
      <c r="D68" s="33"/>
      <c r="E68" s="33"/>
      <c r="F68" s="33"/>
      <c r="G68" s="33"/>
      <c r="H68" s="33"/>
      <c r="I68" s="93"/>
      <c r="J68" s="93"/>
      <c r="K68" s="19"/>
      <c r="M68" s="23" t="str">
        <f t="shared" si="0"/>
        <v xml:space="preserve">             --62</v>
      </c>
      <c r="V68" s="23" t="str">
        <f t="shared" si="1"/>
        <v xml:space="preserve">      --62</v>
      </c>
    </row>
    <row r="69" spans="1:22">
      <c r="A69" s="59">
        <v>63</v>
      </c>
      <c r="B69" s="93"/>
      <c r="C69" s="92"/>
      <c r="D69" s="33"/>
      <c r="E69" s="33"/>
      <c r="F69" s="33"/>
      <c r="G69" s="33"/>
      <c r="H69" s="33"/>
      <c r="I69" s="93"/>
      <c r="J69" s="93"/>
      <c r="K69" s="19"/>
      <c r="M69" s="23" t="str">
        <f t="shared" si="0"/>
        <v xml:space="preserve">             --63</v>
      </c>
      <c r="V69" s="23" t="str">
        <f t="shared" si="1"/>
        <v xml:space="preserve">      --63</v>
      </c>
    </row>
    <row r="70" spans="1:22">
      <c r="A70" s="59">
        <v>64</v>
      </c>
      <c r="B70" s="93"/>
      <c r="C70" s="92"/>
      <c r="D70" s="33"/>
      <c r="E70" s="33"/>
      <c r="F70" s="33"/>
      <c r="G70" s="33"/>
      <c r="H70" s="33"/>
      <c r="I70" s="93"/>
      <c r="J70" s="93"/>
      <c r="K70" s="19"/>
      <c r="M70" s="23" t="str">
        <f t="shared" si="0"/>
        <v xml:space="preserve">             --64</v>
      </c>
      <c r="V70" s="23" t="str">
        <f t="shared" si="1"/>
        <v xml:space="preserve">      --64</v>
      </c>
    </row>
    <row r="71" spans="1:22">
      <c r="A71" s="59">
        <v>65</v>
      </c>
      <c r="B71" s="93"/>
      <c r="C71" s="92"/>
      <c r="D71" s="33"/>
      <c r="E71" s="33"/>
      <c r="F71" s="33"/>
      <c r="G71" s="33"/>
      <c r="H71" s="33"/>
      <c r="I71" s="93"/>
      <c r="J71" s="93"/>
      <c r="K71" s="19"/>
      <c r="M71" s="23" t="str">
        <f t="shared" si="0"/>
        <v xml:space="preserve">             --65</v>
      </c>
      <c r="V71" s="23" t="str">
        <f t="shared" si="1"/>
        <v xml:space="preserve">      --65</v>
      </c>
    </row>
    <row r="72" spans="1:22">
      <c r="A72" s="59">
        <v>66</v>
      </c>
      <c r="B72" s="93"/>
      <c r="C72" s="92"/>
      <c r="D72" s="33"/>
      <c r="E72" s="33"/>
      <c r="F72" s="33"/>
      <c r="G72" s="33"/>
      <c r="H72" s="33"/>
      <c r="I72" s="93"/>
      <c r="J72" s="93"/>
      <c r="K72" s="19"/>
      <c r="M72" s="23" t="str">
        <f t="shared" ref="M72:M106" si="2">REPT(" ",13)&amp;IF(ISBLANK($B72),"--"&amp;$A72,
LEFT(SUBSTITUTE($B72," ","*")&amp;REPT(" ",30),30)&amp;
LEFT(IF(ISBLANK($D72),"",IF(OR(UPPER($D72)="DATE",UPPER($D72)="CLOB",UPPER($D72)="BLOB",UPPER($D72)="LONG",UPPER($D72)="TIMESTAMP"),UPPER($D72),IF(ISBLANK($E72),UPPER($D72),UPPER($D72)&amp;"("&amp;$E72&amp;")")))&amp;REPT(" ",15),15)&amp;
LEFT(IF(ISBLANK($F72),"","DEFAULT  "&amp;$F72)&amp;REPT(" ",19),19)&amp;
LEFT(IF(ISBLANK($J72),""," identity(" &amp; $J72 &amp; ") ")&amp;REPT(" ",17),17)&amp;
LEFT(IF(ISBLANK($H72),""," NOT NULL")&amp;REPT(" ",9),9)&amp;
IF(AND(ISBLANK(G$7),ISBLANK($B73)),"",","))</f>
        <v xml:space="preserve">             --66</v>
      </c>
      <c r="V72" s="23" t="str">
        <f t="shared" ref="V72:V106" si="3">REPT(" ",6)&amp;
IF(ISBLANK($B72),"--"&amp;UPPER($A72),LEFT(SUBSTITUTE(UPPER($B72)," ","*")&amp;REPT(" ",30),30)&amp;
LEFT("AS " &amp; LOWER(MID(SUBSTITUTE(PROPER($B72),"_",""),1,1))&amp;MID(SUBSTITUTE(PROPER($B72),"_",""),2,LEN(SUBSTITUTE(PROPER($B72),"_","")))&amp;REPT(" ",30),30)&amp;
LEFT(IF(ISBLANK($C72),"/**/","/* "&amp;$C72)&amp;" */"&amp;REPT(" ",30),30))</f>
        <v xml:space="preserve">      --66</v>
      </c>
    </row>
    <row r="73" spans="1:22">
      <c r="A73" s="59">
        <v>67</v>
      </c>
      <c r="B73" s="93"/>
      <c r="C73" s="92"/>
      <c r="D73" s="33"/>
      <c r="E73" s="33"/>
      <c r="F73" s="33"/>
      <c r="G73" s="33"/>
      <c r="H73" s="33"/>
      <c r="I73" s="93"/>
      <c r="J73" s="93"/>
      <c r="K73" s="19"/>
      <c r="M73" s="23" t="str">
        <f t="shared" si="2"/>
        <v xml:space="preserve">             --67</v>
      </c>
      <c r="V73" s="23" t="str">
        <f t="shared" si="3"/>
        <v xml:space="preserve">      --67</v>
      </c>
    </row>
    <row r="74" spans="1:22">
      <c r="A74" s="59">
        <v>68</v>
      </c>
      <c r="B74" s="93"/>
      <c r="C74" s="92"/>
      <c r="D74" s="33"/>
      <c r="E74" s="33"/>
      <c r="F74" s="33"/>
      <c r="G74" s="33"/>
      <c r="H74" s="33"/>
      <c r="I74" s="93"/>
      <c r="J74" s="93"/>
      <c r="K74" s="19"/>
      <c r="M74" s="23" t="str">
        <f t="shared" si="2"/>
        <v xml:space="preserve">             --68</v>
      </c>
      <c r="V74" s="23" t="str">
        <f t="shared" si="3"/>
        <v xml:space="preserve">      --68</v>
      </c>
    </row>
    <row r="75" spans="1:22">
      <c r="A75" s="59">
        <v>69</v>
      </c>
      <c r="B75" s="93"/>
      <c r="C75" s="92"/>
      <c r="D75" s="33"/>
      <c r="E75" s="33"/>
      <c r="F75" s="33"/>
      <c r="G75" s="33"/>
      <c r="H75" s="33"/>
      <c r="I75" s="93"/>
      <c r="J75" s="93"/>
      <c r="K75" s="19"/>
      <c r="M75" s="23" t="str">
        <f t="shared" si="2"/>
        <v xml:space="preserve">             --69</v>
      </c>
      <c r="V75" s="23" t="str">
        <f t="shared" si="3"/>
        <v xml:space="preserve">      --69</v>
      </c>
    </row>
    <row r="76" spans="1:22">
      <c r="A76" s="59">
        <v>70</v>
      </c>
      <c r="B76" s="93"/>
      <c r="C76" s="92"/>
      <c r="D76" s="33"/>
      <c r="E76" s="33"/>
      <c r="F76" s="33"/>
      <c r="G76" s="33"/>
      <c r="H76" s="33"/>
      <c r="I76" s="93"/>
      <c r="J76" s="93"/>
      <c r="K76" s="19"/>
      <c r="M76" s="23" t="str">
        <f t="shared" si="2"/>
        <v xml:space="preserve">             --70</v>
      </c>
      <c r="V76" s="23" t="str">
        <f t="shared" si="3"/>
        <v xml:space="preserve">      --70</v>
      </c>
    </row>
    <row r="77" spans="1:22">
      <c r="A77" s="59">
        <v>71</v>
      </c>
      <c r="B77" s="93"/>
      <c r="C77" s="92"/>
      <c r="D77" s="33"/>
      <c r="E77" s="33"/>
      <c r="F77" s="36"/>
      <c r="G77" s="33"/>
      <c r="H77" s="33"/>
      <c r="I77" s="93"/>
      <c r="J77" s="93"/>
      <c r="K77" s="19"/>
      <c r="M77" s="23" t="str">
        <f t="shared" si="2"/>
        <v xml:space="preserve">             --71</v>
      </c>
      <c r="V77" s="23" t="str">
        <f t="shared" si="3"/>
        <v xml:space="preserve">      --71</v>
      </c>
    </row>
    <row r="78" spans="1:22">
      <c r="A78" s="59">
        <v>72</v>
      </c>
      <c r="B78" s="93"/>
      <c r="C78" s="92"/>
      <c r="D78" s="33"/>
      <c r="E78" s="33"/>
      <c r="F78" s="33"/>
      <c r="G78" s="33"/>
      <c r="H78" s="33"/>
      <c r="I78" s="93"/>
      <c r="J78" s="93"/>
      <c r="K78" s="19"/>
      <c r="M78" s="23" t="str">
        <f t="shared" si="2"/>
        <v xml:space="preserve">             --72</v>
      </c>
      <c r="V78" s="23" t="str">
        <f t="shared" si="3"/>
        <v xml:space="preserve">      --72</v>
      </c>
    </row>
    <row r="79" spans="1:22">
      <c r="A79" s="59">
        <v>73</v>
      </c>
      <c r="B79" s="93"/>
      <c r="C79" s="92"/>
      <c r="D79" s="33"/>
      <c r="E79" s="33"/>
      <c r="F79" s="36"/>
      <c r="G79" s="33"/>
      <c r="H79" s="33"/>
      <c r="I79" s="93"/>
      <c r="J79" s="93"/>
      <c r="K79" s="19"/>
      <c r="M79" s="23" t="str">
        <f t="shared" si="2"/>
        <v xml:space="preserve">             --73</v>
      </c>
      <c r="V79" s="23" t="str">
        <f t="shared" si="3"/>
        <v xml:space="preserve">      --73</v>
      </c>
    </row>
    <row r="80" spans="1:22">
      <c r="A80" s="59">
        <v>74</v>
      </c>
      <c r="B80" s="93"/>
      <c r="C80" s="92"/>
      <c r="D80" s="33"/>
      <c r="E80" s="33"/>
      <c r="F80" s="33"/>
      <c r="G80" s="33"/>
      <c r="H80" s="33"/>
      <c r="I80" s="93"/>
      <c r="J80" s="93"/>
      <c r="K80" s="19"/>
      <c r="M80" s="23" t="str">
        <f t="shared" si="2"/>
        <v xml:space="preserve">             --74</v>
      </c>
      <c r="V80" s="23" t="str">
        <f t="shared" si="3"/>
        <v xml:space="preserve">      --74</v>
      </c>
    </row>
    <row r="81" spans="1:22">
      <c r="A81" s="59">
        <v>75</v>
      </c>
      <c r="B81" s="93"/>
      <c r="C81" s="92"/>
      <c r="D81" s="33"/>
      <c r="E81" s="33"/>
      <c r="F81" s="33"/>
      <c r="G81" s="33"/>
      <c r="H81" s="33"/>
      <c r="I81" s="93"/>
      <c r="J81" s="93"/>
      <c r="K81" s="19"/>
      <c r="M81" s="23" t="str">
        <f t="shared" si="2"/>
        <v xml:space="preserve">             --75</v>
      </c>
      <c r="V81" s="23" t="str">
        <f t="shared" si="3"/>
        <v xml:space="preserve">      --75</v>
      </c>
    </row>
    <row r="82" spans="1:22">
      <c r="A82" s="59">
        <v>76</v>
      </c>
      <c r="B82" s="93"/>
      <c r="C82" s="92"/>
      <c r="D82" s="33"/>
      <c r="E82" s="33"/>
      <c r="F82" s="33"/>
      <c r="G82" s="33"/>
      <c r="H82" s="33"/>
      <c r="I82" s="93"/>
      <c r="J82" s="93"/>
      <c r="K82" s="19"/>
      <c r="M82" s="23" t="str">
        <f t="shared" si="2"/>
        <v xml:space="preserve">             --76</v>
      </c>
      <c r="V82" s="23" t="str">
        <f t="shared" si="3"/>
        <v xml:space="preserve">      --76</v>
      </c>
    </row>
    <row r="83" spans="1:22">
      <c r="A83" s="59">
        <v>77</v>
      </c>
      <c r="B83" s="93"/>
      <c r="C83" s="92"/>
      <c r="D83" s="33"/>
      <c r="E83" s="33"/>
      <c r="F83" s="33"/>
      <c r="G83" s="33"/>
      <c r="H83" s="33"/>
      <c r="I83" s="93"/>
      <c r="J83" s="93"/>
      <c r="K83" s="19"/>
      <c r="M83" s="23" t="str">
        <f t="shared" si="2"/>
        <v xml:space="preserve">             --77</v>
      </c>
      <c r="V83" s="23" t="str">
        <f t="shared" si="3"/>
        <v xml:space="preserve">      --77</v>
      </c>
    </row>
    <row r="84" spans="1:22">
      <c r="A84" s="59">
        <v>78</v>
      </c>
      <c r="B84" s="93"/>
      <c r="C84" s="92"/>
      <c r="D84" s="33"/>
      <c r="E84" s="33"/>
      <c r="F84" s="33"/>
      <c r="G84" s="33"/>
      <c r="H84" s="33"/>
      <c r="I84" s="93"/>
      <c r="J84" s="93"/>
      <c r="K84" s="19"/>
      <c r="M84" s="23" t="str">
        <f t="shared" si="2"/>
        <v xml:space="preserve">             --78</v>
      </c>
      <c r="V84" s="23" t="str">
        <f t="shared" si="3"/>
        <v xml:space="preserve">      --78</v>
      </c>
    </row>
    <row r="85" spans="1:22">
      <c r="A85" s="59">
        <v>79</v>
      </c>
      <c r="B85" s="93"/>
      <c r="C85" s="92"/>
      <c r="D85" s="33"/>
      <c r="E85" s="33"/>
      <c r="F85" s="33"/>
      <c r="G85" s="33"/>
      <c r="H85" s="33"/>
      <c r="I85" s="93"/>
      <c r="J85" s="93"/>
      <c r="K85" s="19"/>
      <c r="M85" s="23" t="str">
        <f t="shared" si="2"/>
        <v xml:space="preserve">             --79</v>
      </c>
      <c r="V85" s="23" t="str">
        <f t="shared" si="3"/>
        <v xml:space="preserve">      --79</v>
      </c>
    </row>
    <row r="86" spans="1:22">
      <c r="A86" s="59">
        <v>80</v>
      </c>
      <c r="B86" s="93"/>
      <c r="C86" s="92"/>
      <c r="D86" s="33"/>
      <c r="E86" s="33"/>
      <c r="F86" s="33"/>
      <c r="G86" s="33"/>
      <c r="H86" s="33"/>
      <c r="I86" s="93"/>
      <c r="J86" s="93"/>
      <c r="K86" s="19"/>
      <c r="M86" s="23" t="str">
        <f t="shared" si="2"/>
        <v xml:space="preserve">             --80</v>
      </c>
      <c r="V86" s="23" t="str">
        <f t="shared" si="3"/>
        <v xml:space="preserve">      --80</v>
      </c>
    </row>
    <row r="87" spans="1:22">
      <c r="A87" s="59">
        <v>81</v>
      </c>
      <c r="B87" s="93"/>
      <c r="C87" s="92"/>
      <c r="D87" s="33"/>
      <c r="E87" s="33"/>
      <c r="F87" s="33"/>
      <c r="G87" s="33"/>
      <c r="H87" s="33"/>
      <c r="I87" s="93"/>
      <c r="J87" s="93"/>
      <c r="K87" s="19"/>
      <c r="M87" s="23" t="str">
        <f t="shared" si="2"/>
        <v xml:space="preserve">             --81</v>
      </c>
      <c r="V87" s="23" t="str">
        <f t="shared" si="3"/>
        <v xml:space="preserve">      --81</v>
      </c>
    </row>
    <row r="88" spans="1:22">
      <c r="A88" s="59">
        <v>82</v>
      </c>
      <c r="B88" s="93"/>
      <c r="C88" s="92"/>
      <c r="D88" s="33"/>
      <c r="E88" s="33"/>
      <c r="F88" s="33"/>
      <c r="G88" s="33"/>
      <c r="H88" s="33"/>
      <c r="I88" s="93"/>
      <c r="J88" s="93"/>
      <c r="K88" s="19"/>
      <c r="M88" s="23" t="str">
        <f t="shared" si="2"/>
        <v xml:space="preserve">             --82</v>
      </c>
      <c r="V88" s="23" t="str">
        <f t="shared" si="3"/>
        <v xml:space="preserve">      --82</v>
      </c>
    </row>
    <row r="89" spans="1:22">
      <c r="A89" s="59">
        <v>83</v>
      </c>
      <c r="B89" s="93"/>
      <c r="C89" s="92"/>
      <c r="D89" s="33"/>
      <c r="E89" s="33"/>
      <c r="F89" s="33"/>
      <c r="G89" s="33"/>
      <c r="H89" s="33"/>
      <c r="I89" s="93"/>
      <c r="J89" s="93"/>
      <c r="K89" s="19"/>
      <c r="M89" s="23" t="str">
        <f t="shared" si="2"/>
        <v xml:space="preserve">             --83</v>
      </c>
      <c r="V89" s="23" t="str">
        <f t="shared" si="3"/>
        <v xml:space="preserve">      --83</v>
      </c>
    </row>
    <row r="90" spans="1:22">
      <c r="A90" s="59">
        <v>84</v>
      </c>
      <c r="B90" s="93"/>
      <c r="C90" s="92"/>
      <c r="D90" s="33"/>
      <c r="E90" s="33"/>
      <c r="F90" s="33"/>
      <c r="G90" s="33"/>
      <c r="H90" s="33"/>
      <c r="I90" s="93"/>
      <c r="J90" s="93"/>
      <c r="K90" s="19"/>
      <c r="M90" s="23" t="str">
        <f t="shared" si="2"/>
        <v xml:space="preserve">             --84</v>
      </c>
      <c r="V90" s="23" t="str">
        <f t="shared" si="3"/>
        <v xml:space="preserve">      --84</v>
      </c>
    </row>
    <row r="91" spans="1:22">
      <c r="A91" s="59">
        <v>85</v>
      </c>
      <c r="B91" s="93"/>
      <c r="C91" s="92"/>
      <c r="D91" s="33"/>
      <c r="E91" s="33"/>
      <c r="F91" s="33"/>
      <c r="G91" s="33"/>
      <c r="H91" s="33"/>
      <c r="I91" s="93"/>
      <c r="J91" s="93"/>
      <c r="K91" s="19"/>
      <c r="M91" s="23" t="str">
        <f t="shared" si="2"/>
        <v xml:space="preserve">             --85</v>
      </c>
      <c r="V91" s="23" t="str">
        <f t="shared" si="3"/>
        <v xml:space="preserve">      --85</v>
      </c>
    </row>
    <row r="92" spans="1:22">
      <c r="A92" s="59">
        <v>86</v>
      </c>
      <c r="B92" s="93"/>
      <c r="C92" s="92"/>
      <c r="D92" s="33"/>
      <c r="E92" s="33"/>
      <c r="F92" s="33"/>
      <c r="G92" s="33"/>
      <c r="H92" s="33"/>
      <c r="I92" s="93"/>
      <c r="J92" s="93"/>
      <c r="K92" s="19"/>
      <c r="M92" s="23" t="str">
        <f t="shared" si="2"/>
        <v xml:space="preserve">             --86</v>
      </c>
      <c r="V92" s="23" t="str">
        <f t="shared" si="3"/>
        <v xml:space="preserve">      --86</v>
      </c>
    </row>
    <row r="93" spans="1:22">
      <c r="A93" s="59">
        <v>87</v>
      </c>
      <c r="B93" s="93"/>
      <c r="C93" s="92"/>
      <c r="D93" s="33"/>
      <c r="E93" s="33"/>
      <c r="F93" s="33"/>
      <c r="G93" s="33"/>
      <c r="H93" s="33"/>
      <c r="I93" s="93"/>
      <c r="J93" s="93"/>
      <c r="K93" s="19"/>
      <c r="M93" s="23" t="str">
        <f t="shared" si="2"/>
        <v xml:space="preserve">             --87</v>
      </c>
      <c r="V93" s="23" t="str">
        <f t="shared" si="3"/>
        <v xml:space="preserve">      --87</v>
      </c>
    </row>
    <row r="94" spans="1:22">
      <c r="A94" s="59">
        <v>88</v>
      </c>
      <c r="B94" s="93"/>
      <c r="C94" s="92"/>
      <c r="D94" s="33"/>
      <c r="E94" s="33"/>
      <c r="F94" s="33"/>
      <c r="G94" s="33"/>
      <c r="H94" s="33"/>
      <c r="I94" s="93"/>
      <c r="J94" s="93"/>
      <c r="K94" s="19"/>
      <c r="M94" s="23" t="str">
        <f t="shared" si="2"/>
        <v xml:space="preserve">             --88</v>
      </c>
      <c r="V94" s="23" t="str">
        <f t="shared" si="3"/>
        <v xml:space="preserve">      --88</v>
      </c>
    </row>
    <row r="95" spans="1:22">
      <c r="A95" s="59">
        <v>89</v>
      </c>
      <c r="B95" s="93"/>
      <c r="C95" s="92"/>
      <c r="D95" s="33"/>
      <c r="E95" s="33"/>
      <c r="F95" s="33"/>
      <c r="G95" s="33"/>
      <c r="H95" s="33"/>
      <c r="I95" s="93"/>
      <c r="J95" s="93"/>
      <c r="K95" s="19"/>
      <c r="M95" s="23" t="str">
        <f t="shared" si="2"/>
        <v xml:space="preserve">             --89</v>
      </c>
      <c r="V95" s="23" t="str">
        <f t="shared" si="3"/>
        <v xml:space="preserve">      --89</v>
      </c>
    </row>
    <row r="96" spans="1:22">
      <c r="A96" s="59">
        <v>90</v>
      </c>
      <c r="B96" s="93"/>
      <c r="C96" s="92"/>
      <c r="D96" s="33"/>
      <c r="E96" s="33"/>
      <c r="F96" s="33"/>
      <c r="G96" s="33"/>
      <c r="H96" s="33"/>
      <c r="I96" s="93"/>
      <c r="J96" s="93"/>
      <c r="K96" s="19"/>
      <c r="M96" s="23" t="str">
        <f t="shared" si="2"/>
        <v xml:space="preserve">             --90</v>
      </c>
      <c r="V96" s="23" t="str">
        <f t="shared" si="3"/>
        <v xml:space="preserve">      --90</v>
      </c>
    </row>
    <row r="97" spans="1:22">
      <c r="A97" s="59">
        <v>91</v>
      </c>
      <c r="B97" s="93"/>
      <c r="C97" s="92"/>
      <c r="D97" s="33"/>
      <c r="E97" s="33"/>
      <c r="F97" s="36"/>
      <c r="G97" s="33"/>
      <c r="H97" s="33"/>
      <c r="I97" s="93"/>
      <c r="J97" s="93"/>
      <c r="K97" s="19"/>
      <c r="M97" s="23" t="str">
        <f t="shared" si="2"/>
        <v xml:space="preserve">             --91</v>
      </c>
      <c r="V97" s="23" t="str">
        <f t="shared" si="3"/>
        <v xml:space="preserve">      --91</v>
      </c>
    </row>
    <row r="98" spans="1:22">
      <c r="A98" s="59">
        <v>92</v>
      </c>
      <c r="B98" s="2"/>
      <c r="C98" s="2"/>
      <c r="D98" s="33"/>
      <c r="E98" s="33"/>
      <c r="F98" s="33"/>
      <c r="G98" s="33"/>
      <c r="H98" s="33"/>
      <c r="I98" s="93"/>
      <c r="J98" s="93"/>
      <c r="K98" s="19"/>
      <c r="M98" s="23" t="str">
        <f t="shared" si="2"/>
        <v xml:space="preserve">             --92</v>
      </c>
      <c r="V98" s="23" t="str">
        <f t="shared" si="3"/>
        <v xml:space="preserve">      --92</v>
      </c>
    </row>
    <row r="99" spans="1:22">
      <c r="A99" s="59">
        <v>93</v>
      </c>
      <c r="B99" s="2"/>
      <c r="C99" s="2"/>
      <c r="D99" s="33"/>
      <c r="E99" s="33"/>
      <c r="F99" s="33"/>
      <c r="G99" s="33"/>
      <c r="H99" s="33"/>
      <c r="I99" s="33"/>
      <c r="J99" s="33"/>
      <c r="K99" s="19"/>
      <c r="M99" s="23" t="str">
        <f t="shared" si="2"/>
        <v xml:space="preserve">             --93</v>
      </c>
      <c r="V99" s="23" t="str">
        <f t="shared" si="3"/>
        <v xml:space="preserve">      --93</v>
      </c>
    </row>
    <row r="100" spans="1:22">
      <c r="A100" s="59">
        <v>94</v>
      </c>
      <c r="B100" s="93"/>
      <c r="C100" s="92"/>
      <c r="D100" s="33"/>
      <c r="E100" s="33"/>
      <c r="F100" s="33"/>
      <c r="G100" s="33"/>
      <c r="H100" s="33"/>
      <c r="I100" s="33"/>
      <c r="J100" s="33"/>
      <c r="K100" s="19"/>
      <c r="M100" s="23" t="str">
        <f t="shared" si="2"/>
        <v xml:space="preserve">             --94</v>
      </c>
      <c r="V100" s="23" t="str">
        <f t="shared" si="3"/>
        <v xml:space="preserve">      --94</v>
      </c>
    </row>
    <row r="101" spans="1:22">
      <c r="A101" s="59">
        <v>95</v>
      </c>
      <c r="B101" s="2"/>
      <c r="C101" s="2"/>
      <c r="D101" s="33"/>
      <c r="E101" s="33"/>
      <c r="F101" s="33"/>
      <c r="G101" s="33"/>
      <c r="H101" s="33"/>
      <c r="I101" s="93"/>
      <c r="J101" s="93"/>
      <c r="K101" s="19"/>
      <c r="M101" s="23" t="str">
        <f t="shared" si="2"/>
        <v xml:space="preserve">             --95</v>
      </c>
      <c r="V101" s="23" t="str">
        <f t="shared" si="3"/>
        <v xml:space="preserve">      --95</v>
      </c>
    </row>
    <row r="102" spans="1:22">
      <c r="A102" s="59">
        <v>96</v>
      </c>
      <c r="B102" s="2"/>
      <c r="C102" s="95"/>
      <c r="D102" s="38"/>
      <c r="E102" s="39"/>
      <c r="F102" s="40"/>
      <c r="G102" s="44"/>
      <c r="H102" s="42"/>
      <c r="I102" s="41"/>
      <c r="J102" s="41"/>
      <c r="K102" s="43"/>
      <c r="M102" s="23" t="str">
        <f t="shared" si="2"/>
        <v xml:space="preserve">             --96</v>
      </c>
      <c r="V102" s="23" t="str">
        <f t="shared" si="3"/>
        <v xml:space="preserve">      --96</v>
      </c>
    </row>
    <row r="103" spans="1:22">
      <c r="A103" s="59">
        <v>97</v>
      </c>
      <c r="B103" s="2"/>
      <c r="C103" s="2"/>
      <c r="D103" s="33"/>
      <c r="E103" s="46"/>
      <c r="F103" s="33"/>
      <c r="G103" s="33"/>
      <c r="H103" s="33"/>
      <c r="I103" s="33"/>
      <c r="J103" s="33"/>
      <c r="K103" s="19"/>
      <c r="M103" s="23" t="str">
        <f t="shared" si="2"/>
        <v xml:space="preserve">             --97</v>
      </c>
      <c r="V103" s="23" t="str">
        <f t="shared" si="3"/>
        <v xml:space="preserve">      --97</v>
      </c>
    </row>
    <row r="104" spans="1:22">
      <c r="A104" s="59">
        <v>98</v>
      </c>
      <c r="B104" s="2"/>
      <c r="C104" s="2"/>
      <c r="D104" s="33"/>
      <c r="E104" s="46"/>
      <c r="F104" s="33"/>
      <c r="G104" s="33"/>
      <c r="H104" s="33"/>
      <c r="I104" s="33"/>
      <c r="J104" s="33"/>
      <c r="K104" s="19"/>
      <c r="M104" s="23" t="str">
        <f t="shared" si="2"/>
        <v xml:space="preserve">             --98</v>
      </c>
      <c r="V104" s="23" t="str">
        <f t="shared" si="3"/>
        <v xml:space="preserve">      --98</v>
      </c>
    </row>
    <row r="105" spans="1:22">
      <c r="A105" s="59">
        <v>99</v>
      </c>
      <c r="B105" s="2"/>
      <c r="C105" s="2"/>
      <c r="D105" s="33"/>
      <c r="E105" s="46"/>
      <c r="F105" s="36"/>
      <c r="G105" s="33"/>
      <c r="H105" s="33"/>
      <c r="I105" s="93"/>
      <c r="J105" s="93"/>
      <c r="K105" s="19"/>
      <c r="M105" s="23" t="str">
        <f t="shared" si="2"/>
        <v xml:space="preserve">             --99</v>
      </c>
      <c r="V105" s="23" t="str">
        <f t="shared" si="3"/>
        <v xml:space="preserve">      --99</v>
      </c>
    </row>
    <row r="106" spans="1:22">
      <c r="A106" s="59">
        <v>100</v>
      </c>
      <c r="B106" s="95"/>
      <c r="C106" s="91"/>
      <c r="D106" s="33"/>
      <c r="E106" s="46"/>
      <c r="F106" s="33"/>
      <c r="G106" s="33"/>
      <c r="H106" s="33"/>
      <c r="I106" s="93"/>
      <c r="J106" s="93"/>
      <c r="K106" s="19"/>
      <c r="M106" s="23" t="str">
        <f t="shared" si="2"/>
        <v xml:space="preserve">             --100</v>
      </c>
      <c r="V106" s="23" t="str">
        <f t="shared" si="3"/>
        <v xml:space="preserve">      --100</v>
      </c>
    </row>
    <row r="107" spans="1:22">
      <c r="A107" s="30"/>
      <c r="B107" s="27"/>
      <c r="C107" s="27"/>
      <c r="D107" s="30"/>
      <c r="E107" s="30"/>
      <c r="F107" s="27"/>
      <c r="G107" s="27"/>
      <c r="H107" s="27"/>
      <c r="I107" s="27"/>
      <c r="J107" s="27"/>
      <c r="K107" s="27"/>
      <c r="M107" s="23"/>
    </row>
    <row r="108" spans="1:22">
      <c r="B108" s="20" t="s">
        <v>2</v>
      </c>
      <c r="M108" s="24" t="str">
        <f>REPT(" ",13)&amp;IF(ISBLANK($G7),"--","")&amp;"CONSTRAINT   " &amp; "idx_" &amp; $C$3 &amp; "_pk  PRIMARY KEY CLUSTERED ("</f>
        <v xml:space="preserve">             --CONSTRAINT   idx_Stores_pk  PRIMARY KEY CLUSTERED (</v>
      </c>
    </row>
    <row r="109" spans="1:22">
      <c r="B109" s="59" t="s">
        <v>5</v>
      </c>
      <c r="C109" s="59" t="s">
        <v>3</v>
      </c>
      <c r="D109" s="59" t="s">
        <v>4</v>
      </c>
      <c r="M109" s="18" t="str">
        <f>REPT(" ",25)&amp;IF($G7="","--"&amp;$A7,"")&amp;IF($G7&lt;&gt;"",IF(LEFT(TRIM($M108),10)="CONSTRAINT"," ",",") &amp; TRIM($B7),"")</f>
        <v xml:space="preserve">                         --1</v>
      </c>
    </row>
    <row r="110" spans="1:22">
      <c r="B110" s="21"/>
      <c r="C110" s="34"/>
      <c r="D110" s="59"/>
      <c r="M110" s="24" t="str">
        <f t="shared" ref="M110:M117" si="4">REPT(" ",25)&amp;IF($G8="","--"&amp;$A8,"")&amp;IF($G8&lt;&gt;"",IF(LEFT(TRIM($M109),10)="CONSTRAINT"," ",",") &amp; TRIM($B8),"")</f>
        <v xml:space="preserve">                         --2</v>
      </c>
    </row>
    <row r="111" spans="1:22">
      <c r="B111" s="21"/>
      <c r="C111" s="95"/>
      <c r="D111" s="21"/>
      <c r="G111" s="29"/>
      <c r="M111" s="24" t="str">
        <f t="shared" si="4"/>
        <v xml:space="preserve">                         --3</v>
      </c>
    </row>
    <row r="112" spans="1:22">
      <c r="B112" s="31"/>
      <c r="C112" s="95"/>
      <c r="D112" s="21"/>
      <c r="G112" s="29"/>
      <c r="M112" s="24" t="str">
        <f t="shared" si="4"/>
        <v xml:space="preserve">                         --4</v>
      </c>
    </row>
    <row r="113" spans="2:17">
      <c r="B113" s="31"/>
      <c r="C113" s="95"/>
      <c r="D113" s="21"/>
      <c r="G113" s="29"/>
      <c r="M113" s="24" t="str">
        <f t="shared" si="4"/>
        <v xml:space="preserve">                         --5</v>
      </c>
    </row>
    <row r="114" spans="2:17">
      <c r="B114" s="31"/>
      <c r="C114" s="95"/>
      <c r="D114" s="21"/>
      <c r="M114" s="24" t="str">
        <f t="shared" si="4"/>
        <v xml:space="preserve">                         --6</v>
      </c>
    </row>
    <row r="115" spans="2:17">
      <c r="B115" s="21"/>
      <c r="C115" s="95"/>
      <c r="D115" s="59"/>
      <c r="M115" s="24" t="str">
        <f t="shared" si="4"/>
        <v xml:space="preserve">                         --7</v>
      </c>
    </row>
    <row r="116" spans="2:17">
      <c r="B116" s="21"/>
      <c r="C116" s="95"/>
      <c r="D116" s="59"/>
      <c r="M116" s="24" t="str">
        <f t="shared" si="4"/>
        <v xml:space="preserve">                         --8</v>
      </c>
    </row>
    <row r="117" spans="2:17">
      <c r="B117" s="21"/>
      <c r="C117" s="95"/>
      <c r="D117" s="59"/>
      <c r="M117" s="24" t="str">
        <f t="shared" si="4"/>
        <v xml:space="preserve">                         --9</v>
      </c>
    </row>
    <row r="118" spans="2:17">
      <c r="M118" s="24" t="str">
        <f>REPT(" ",25)&amp;IF($G16="","--"&amp;$A16,"")&amp;IF($G16&lt;&gt;"",IF(LEFT(TRIM($M117),10)="CONSTRAINT"," ",",") &amp; TRIM($B16),"")</f>
        <v xml:space="preserve">                         --10</v>
      </c>
    </row>
    <row r="119" spans="2:17">
      <c r="B119" s="20" t="s">
        <v>0</v>
      </c>
      <c r="M119" s="61" t="s">
        <v>272</v>
      </c>
    </row>
    <row r="120" spans="2:17">
      <c r="M120" s="26"/>
    </row>
    <row r="121" spans="2:17">
      <c r="M121" s="18" t="str">
        <f>IF(OR(TRIM(UPPER($I$5))="",TRIM(UPPER($I$5))="DEFAULT"),"","ALTER  TABLE  "&amp;$C$3&amp;"  STORAGE  (BUFFER_POOL  "&amp;UPPER($I$5)&amp;");  --KEEP | RECYCLE | DEFAULT")</f>
        <v/>
      </c>
    </row>
    <row r="122" spans="2:17">
      <c r="M122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'상점',                                                          'schema', 'dbo', 'table', 'Stores';                  -- 테이블</v>
      </c>
      <c r="Q122" s="25"/>
    </row>
    <row r="123" spans="2:17">
      <c r="M123" s="24" t="str">
        <f>IF(TRIM($B7)="","-- "&amp;$A7&amp;",",IF(LEFT($B7,2)="--","-- "&amp;$A7&amp;",","")&amp;"EXEC sp_addextendedproperty 'MS_Description', '"&amp;TRIM($C7)&amp;IF($K7="","","("&amp;$K7&amp;")")&amp;"', "&amp;REPT(" ",60-LENB(TRIM($C7)&amp;IF($K7="","","("&amp;$K7&amp;")")))&amp;" 'schema', 'dbo', N'table', '"&amp;TRIM($C$3)&amp;"', 'column', '"&amp;TRIM($B7)&amp;"';"&amp;REPT(" ",20-LENB(TRIM($B7)))&amp;"-- 컬럼")</f>
        <v>EXEC sp_addextendedproperty 'MS_Description', '상점번호',                                                      'schema', 'dbo', N'table', 'Stores', 'column', 'storeNumber';         -- 컬럼</v>
      </c>
      <c r="Q123" s="25"/>
    </row>
    <row r="124" spans="2:17">
      <c r="M124" s="24" t="str">
        <f t="shared" ref="M124:M187" si="5">IF(TRIM($B8)="","-- "&amp;$A8&amp;",",IF(LEFT($B8,2)="--","-- "&amp;$A8&amp;",","")&amp;"EXEC sp_addextendedproperty 'MS_Description', '"&amp;TRIM($C8)&amp;IF($K8="","","("&amp;$K8&amp;")")&amp;"', "&amp;REPT(" ",60-LENB(TRIM($C8)&amp;IF($K8="","","("&amp;$K8&amp;")")))&amp;" 'schema', 'dbo', N'table', '"&amp;TRIM($C$3)&amp;"', 'column', '"&amp;TRIM($B8)&amp;"';"&amp;REPT(" ",20-LENB(TRIM($B8)))&amp;"-- 컬럼")</f>
        <v>EXEC sp_addextendedproperty 'MS_Description', '상점명(AES256)',                                                'schema', 'dbo', N'table', 'Stores', 'column', 'storeName';           -- 컬럼</v>
      </c>
      <c r="Q124" s="25"/>
    </row>
    <row r="125" spans="2:17">
      <c r="M125" s="24" t="str">
        <f t="shared" si="5"/>
        <v>EXEC sp_addextendedproperty 'MS_Description', '판매자명(AES256)',                                              'schema', 'dbo', N'table', 'Stores', 'column', 'sellerName';          -- 컬럼</v>
      </c>
      <c r="Q125" s="25"/>
    </row>
    <row r="126" spans="2:17">
      <c r="M126" s="24" t="str">
        <f t="shared" si="5"/>
        <v>EXEC sp_addextendedproperty 'MS_Description', '별명(AES256)',                                                  'schema', 'dbo', N'table', 'Stores', 'column', 'nickName';            -- 컬럼</v>
      </c>
      <c r="Q126" s="25"/>
    </row>
    <row r="127" spans="2:17">
      <c r="M127" s="24" t="str">
        <f t="shared" si="5"/>
        <v>EXEC sp_addextendedproperty 'MS_Description', '전화번호(AES256)',                                              'schema', 'dbo', N'table', 'Stores', 'column', 'phoneNumber';         -- 컬럼</v>
      </c>
      <c r="Q127" s="25"/>
    </row>
    <row r="128" spans="2:17">
      <c r="M128" s="24" t="str">
        <f t="shared" si="5"/>
        <v>EXEC sp_addextendedproperty 'MS_Description', '이메일주소(AES256)',                                            'schema', 'dbo', N'table', 'Stores', 'column', 'emailAddress';        -- 컬럼</v>
      </c>
      <c r="Q128" s="25"/>
    </row>
    <row r="129" spans="13:17">
      <c r="M129" s="24" t="str">
        <f t="shared" si="5"/>
        <v>EXEC sp_addextendedproperty 'MS_Description', '사진경로(AES256)',                                              'schema', 'dbo', N'table', 'Stores', 'column', 'photoPath';           -- 컬럼</v>
      </c>
      <c r="Q129" s="25"/>
    </row>
    <row r="130" spans="13:17">
      <c r="M130" s="24" t="str">
        <f t="shared" si="5"/>
        <v>EXEC sp_addextendedproperty 'MS_Description', '계약시작일',                                                    'schema', 'dbo', N'table', 'Stores', 'column', 'contractStartDate';   -- 컬럼</v>
      </c>
      <c r="Q130" s="25"/>
    </row>
    <row r="131" spans="13:17">
      <c r="M131" s="24" t="str">
        <f t="shared" si="5"/>
        <v>EXEC sp_addextendedproperty 'MS_Description', '계약종료일',                                                    'schema', 'dbo', N'table', 'Stores', 'column', 'contractEndDate';     -- 컬럼</v>
      </c>
      <c r="Q131" s="25"/>
    </row>
    <row r="132" spans="13:17">
      <c r="M132" s="24" t="str">
        <f t="shared" si="5"/>
        <v>EXEC sp_addextendedproperty 'MS_Description', '사용여부(Y,N)',                                                 'schema', 'dbo', N'table', 'Stores', 'column', 'useAt';               -- 컬럼</v>
      </c>
      <c r="Q132" s="25"/>
    </row>
    <row r="133" spans="13:17">
      <c r="M133" s="24" t="str">
        <f t="shared" si="5"/>
        <v>EXEC sp_addextendedproperty 'MS_Description', '삭제여부(Y,N)',                                                 'schema', 'dbo', N'table', 'Stores', 'column', 'delAt';               -- 컬럼</v>
      </c>
      <c r="Q133" s="25"/>
    </row>
    <row r="134" spans="13:17">
      <c r="M134" s="24" t="str">
        <f t="shared" si="5"/>
        <v>EXEC sp_addextendedproperty 'MS_Description', '생성자',                                                        'schema', 'dbo', N'table', 'Stores', 'column', 'createId';            -- 컬럼</v>
      </c>
      <c r="Q134" s="25"/>
    </row>
    <row r="135" spans="13:17">
      <c r="M135" s="24" t="str">
        <f t="shared" si="5"/>
        <v>EXEC sp_addextendedproperty 'MS_Description', '생성 일시',                                                     'schema', 'dbo', N'table', 'Stores', 'column', 'createDate';          -- 컬럼</v>
      </c>
      <c r="Q135" s="25"/>
    </row>
    <row r="136" spans="13:17">
      <c r="M136" s="24" t="str">
        <f t="shared" si="5"/>
        <v>EXEC sp_addextendedproperty 'MS_Description', '수정자',                                                        'schema', 'dbo', N'table', 'Stores', 'column', 'updateId';            -- 컬럼</v>
      </c>
      <c r="Q136" s="25"/>
    </row>
    <row r="137" spans="13:17">
      <c r="M137" s="24" t="str">
        <f t="shared" si="5"/>
        <v>EXEC sp_addextendedproperty 'MS_Description', '갱신 일시',                                                     'schema', 'dbo', N'table', 'Stores', 'column', 'updateDate';          -- 컬럼</v>
      </c>
      <c r="Q137" s="25"/>
    </row>
    <row r="138" spans="13:17">
      <c r="M138" s="24" t="str">
        <f t="shared" si="5"/>
        <v>-- 16,</v>
      </c>
      <c r="Q138" s="25"/>
    </row>
    <row r="139" spans="13:17">
      <c r="M139" s="24" t="str">
        <f t="shared" si="5"/>
        <v>-- 17,</v>
      </c>
      <c r="Q139" s="25"/>
    </row>
    <row r="140" spans="13:17">
      <c r="M140" s="24" t="str">
        <f t="shared" si="5"/>
        <v>-- 18,</v>
      </c>
      <c r="Q140" s="25"/>
    </row>
    <row r="141" spans="13:17">
      <c r="M141" s="24" t="str">
        <f t="shared" si="5"/>
        <v>-- 19,</v>
      </c>
      <c r="Q141" s="25"/>
    </row>
    <row r="142" spans="13:17">
      <c r="M142" s="24" t="str">
        <f t="shared" si="5"/>
        <v>-- 20,</v>
      </c>
      <c r="Q142" s="25"/>
    </row>
    <row r="143" spans="13:17">
      <c r="M143" s="24" t="str">
        <f t="shared" si="5"/>
        <v>-- 21,</v>
      </c>
      <c r="Q143" s="25"/>
    </row>
    <row r="144" spans="13:17">
      <c r="M144" s="24" t="str">
        <f t="shared" si="5"/>
        <v>-- 22,</v>
      </c>
      <c r="Q144" s="25"/>
    </row>
    <row r="145" spans="13:17">
      <c r="M145" s="24" t="str">
        <f t="shared" si="5"/>
        <v>-- 23,</v>
      </c>
      <c r="Q145" s="25"/>
    </row>
    <row r="146" spans="13:17">
      <c r="M146" s="24" t="str">
        <f t="shared" si="5"/>
        <v>-- 24,</v>
      </c>
      <c r="Q146" s="25"/>
    </row>
    <row r="147" spans="13:17">
      <c r="M147" s="24" t="str">
        <f t="shared" si="5"/>
        <v>-- 25,</v>
      </c>
      <c r="Q147" s="25"/>
    </row>
    <row r="148" spans="13:17">
      <c r="M148" s="24" t="str">
        <f t="shared" si="5"/>
        <v>-- 26,</v>
      </c>
      <c r="Q148" s="25"/>
    </row>
    <row r="149" spans="13:17">
      <c r="M149" s="24" t="str">
        <f t="shared" si="5"/>
        <v>-- 27,</v>
      </c>
      <c r="Q149" s="25"/>
    </row>
    <row r="150" spans="13:17">
      <c r="M150" s="24" t="str">
        <f t="shared" si="5"/>
        <v>-- 28,</v>
      </c>
      <c r="Q150" s="25"/>
    </row>
    <row r="151" spans="13:17">
      <c r="M151" s="24" t="str">
        <f t="shared" si="5"/>
        <v>-- 29,</v>
      </c>
      <c r="Q151" s="25"/>
    </row>
    <row r="152" spans="13:17">
      <c r="M152" s="24" t="str">
        <f t="shared" si="5"/>
        <v>-- 30,</v>
      </c>
      <c r="Q152" s="25"/>
    </row>
    <row r="153" spans="13:17">
      <c r="M153" s="24" t="str">
        <f t="shared" si="5"/>
        <v>-- 31,</v>
      </c>
      <c r="Q153" s="25"/>
    </row>
    <row r="154" spans="13:17">
      <c r="M154" s="24" t="str">
        <f t="shared" si="5"/>
        <v>-- 32,</v>
      </c>
      <c r="Q154" s="25"/>
    </row>
    <row r="155" spans="13:17">
      <c r="M155" s="24" t="str">
        <f t="shared" si="5"/>
        <v>-- 33,</v>
      </c>
      <c r="Q155" s="25"/>
    </row>
    <row r="156" spans="13:17">
      <c r="M156" s="24" t="str">
        <f t="shared" si="5"/>
        <v>-- 34,</v>
      </c>
      <c r="Q156" s="25"/>
    </row>
    <row r="157" spans="13:17">
      <c r="M157" s="24" t="str">
        <f t="shared" si="5"/>
        <v>-- 35,</v>
      </c>
      <c r="Q157" s="25"/>
    </row>
    <row r="158" spans="13:17">
      <c r="M158" s="24" t="str">
        <f t="shared" si="5"/>
        <v>-- 36,</v>
      </c>
      <c r="Q158" s="25"/>
    </row>
    <row r="159" spans="13:17">
      <c r="M159" s="24" t="str">
        <f t="shared" si="5"/>
        <v>-- 37,</v>
      </c>
      <c r="Q159" s="25"/>
    </row>
    <row r="160" spans="13:17">
      <c r="M160" s="24" t="str">
        <f t="shared" si="5"/>
        <v>-- 38,</v>
      </c>
      <c r="Q160" s="25"/>
    </row>
    <row r="161" spans="12:17">
      <c r="M161" s="24" t="str">
        <f t="shared" si="5"/>
        <v>-- 39,</v>
      </c>
      <c r="Q161" s="25"/>
    </row>
    <row r="162" spans="12:17">
      <c r="M162" s="24" t="str">
        <f t="shared" si="5"/>
        <v>-- 40,</v>
      </c>
      <c r="Q162" s="25"/>
    </row>
    <row r="163" spans="12:17">
      <c r="M163" s="24" t="str">
        <f t="shared" si="5"/>
        <v>-- 41,</v>
      </c>
      <c r="Q163" s="25"/>
    </row>
    <row r="164" spans="12:17">
      <c r="M164" s="24" t="str">
        <f t="shared" si="5"/>
        <v>-- 42,</v>
      </c>
      <c r="Q164" s="25"/>
    </row>
    <row r="165" spans="12:17">
      <c r="M165" s="24" t="str">
        <f t="shared" si="5"/>
        <v>-- 43,</v>
      </c>
      <c r="Q165" s="25"/>
    </row>
    <row r="166" spans="12:17">
      <c r="M166" s="24" t="str">
        <f t="shared" si="5"/>
        <v>-- 44,</v>
      </c>
      <c r="Q166" s="25"/>
    </row>
    <row r="167" spans="12:17">
      <c r="M167" s="24" t="str">
        <f t="shared" si="5"/>
        <v>-- 45,</v>
      </c>
      <c r="Q167" s="25"/>
    </row>
    <row r="168" spans="12:17">
      <c r="M168" s="24" t="str">
        <f t="shared" si="5"/>
        <v>-- 46,</v>
      </c>
      <c r="Q168" s="25"/>
    </row>
    <row r="169" spans="12:17">
      <c r="M169" s="24" t="str">
        <f t="shared" si="5"/>
        <v>-- 47,</v>
      </c>
      <c r="Q169" s="25"/>
    </row>
    <row r="170" spans="12:17">
      <c r="M170" s="24" t="str">
        <f t="shared" si="5"/>
        <v>-- 48,</v>
      </c>
      <c r="Q170" s="25"/>
    </row>
    <row r="171" spans="12:17">
      <c r="M171" s="24" t="str">
        <f t="shared" si="5"/>
        <v>-- 49,</v>
      </c>
      <c r="Q171" s="25"/>
    </row>
    <row r="172" spans="12:17">
      <c r="M172" s="24" t="str">
        <f t="shared" si="5"/>
        <v>-- 50,</v>
      </c>
    </row>
    <row r="173" spans="12:17">
      <c r="L173" s="24"/>
      <c r="M173" s="24" t="str">
        <f t="shared" si="5"/>
        <v>-- 51,</v>
      </c>
    </row>
    <row r="174" spans="12:17">
      <c r="L174" s="24"/>
      <c r="M174" s="24" t="str">
        <f t="shared" si="5"/>
        <v>-- 52,</v>
      </c>
    </row>
    <row r="175" spans="12:17">
      <c r="L175" s="24"/>
      <c r="M175" s="24" t="str">
        <f t="shared" si="5"/>
        <v>-- 53,</v>
      </c>
    </row>
    <row r="176" spans="12:17">
      <c r="L176" s="24"/>
      <c r="M176" s="24" t="str">
        <f t="shared" si="5"/>
        <v>-- 54,</v>
      </c>
    </row>
    <row r="177" spans="12:13">
      <c r="L177" s="24"/>
      <c r="M177" s="24" t="str">
        <f t="shared" si="5"/>
        <v>-- 55,</v>
      </c>
    </row>
    <row r="178" spans="12:13">
      <c r="L178" s="24"/>
      <c r="M178" s="24" t="str">
        <f t="shared" si="5"/>
        <v>-- 56,</v>
      </c>
    </row>
    <row r="179" spans="12:13">
      <c r="L179" s="24"/>
      <c r="M179" s="24" t="str">
        <f t="shared" si="5"/>
        <v>-- 57,</v>
      </c>
    </row>
    <row r="180" spans="12:13">
      <c r="L180" s="24"/>
      <c r="M180" s="24" t="str">
        <f t="shared" si="5"/>
        <v>-- 58,</v>
      </c>
    </row>
    <row r="181" spans="12:13">
      <c r="L181" s="24"/>
      <c r="M181" s="24" t="str">
        <f t="shared" si="5"/>
        <v>-- 59,</v>
      </c>
    </row>
    <row r="182" spans="12:13">
      <c r="L182" s="24"/>
      <c r="M182" s="24" t="str">
        <f t="shared" si="5"/>
        <v>-- 60,</v>
      </c>
    </row>
    <row r="183" spans="12:13">
      <c r="L183" s="24"/>
      <c r="M183" s="24" t="str">
        <f t="shared" si="5"/>
        <v>-- 61,</v>
      </c>
    </row>
    <row r="184" spans="12:13">
      <c r="L184" s="24"/>
      <c r="M184" s="24" t="str">
        <f t="shared" si="5"/>
        <v>-- 62,</v>
      </c>
    </row>
    <row r="185" spans="12:13">
      <c r="L185" s="24"/>
      <c r="M185" s="24" t="str">
        <f t="shared" si="5"/>
        <v>-- 63,</v>
      </c>
    </row>
    <row r="186" spans="12:13">
      <c r="L186" s="24"/>
      <c r="M186" s="24" t="str">
        <f t="shared" si="5"/>
        <v>-- 64,</v>
      </c>
    </row>
    <row r="187" spans="12:13">
      <c r="L187" s="24"/>
      <c r="M187" s="24" t="str">
        <f t="shared" si="5"/>
        <v>-- 65,</v>
      </c>
    </row>
    <row r="188" spans="12:13">
      <c r="L188" s="24"/>
      <c r="M188" s="24" t="str">
        <f t="shared" ref="M188:M222" si="6">IF(TRIM($B72)="","-- "&amp;$A72&amp;",",IF(LEFT($B72,2)="--","-- "&amp;$A72&amp;",","")&amp;"EXEC sp_addextendedproperty 'MS_Description', '"&amp;TRIM($C72)&amp;IF($K72="","","("&amp;$K72&amp;")")&amp;"', "&amp;REPT(" ",60-LENB(TRIM($C72)&amp;IF($K72="","","("&amp;$K72&amp;")")))&amp;" 'schema', 'dbo', N'table', '"&amp;TRIM($C$3)&amp;"', 'column', '"&amp;TRIM($B72)&amp;"';"&amp;REPT(" ",20-LENB(TRIM($B72)))&amp;"-- 컬럼")</f>
        <v>-- 66,</v>
      </c>
    </row>
    <row r="189" spans="12:13">
      <c r="L189" s="24"/>
      <c r="M189" s="24" t="str">
        <f t="shared" si="6"/>
        <v>-- 67,</v>
      </c>
    </row>
    <row r="190" spans="12:13">
      <c r="L190" s="24"/>
      <c r="M190" s="24" t="str">
        <f t="shared" si="6"/>
        <v>-- 68,</v>
      </c>
    </row>
    <row r="191" spans="12:13">
      <c r="L191" s="24"/>
      <c r="M191" s="24" t="str">
        <f t="shared" si="6"/>
        <v>-- 69,</v>
      </c>
    </row>
    <row r="192" spans="12:13">
      <c r="L192" s="24"/>
      <c r="M192" s="24" t="str">
        <f t="shared" si="6"/>
        <v>-- 70,</v>
      </c>
    </row>
    <row r="193" spans="12:13">
      <c r="L193" s="24"/>
      <c r="M193" s="24" t="str">
        <f t="shared" si="6"/>
        <v>-- 71,</v>
      </c>
    </row>
    <row r="194" spans="12:13">
      <c r="L194" s="24"/>
      <c r="M194" s="24" t="str">
        <f t="shared" si="6"/>
        <v>-- 72,</v>
      </c>
    </row>
    <row r="195" spans="12:13">
      <c r="L195" s="24"/>
      <c r="M195" s="24" t="str">
        <f t="shared" si="6"/>
        <v>-- 73,</v>
      </c>
    </row>
    <row r="196" spans="12:13">
      <c r="L196" s="24"/>
      <c r="M196" s="24" t="str">
        <f t="shared" si="6"/>
        <v>-- 74,</v>
      </c>
    </row>
    <row r="197" spans="12:13">
      <c r="L197" s="24"/>
      <c r="M197" s="24" t="str">
        <f t="shared" si="6"/>
        <v>-- 75,</v>
      </c>
    </row>
    <row r="198" spans="12:13">
      <c r="L198" s="24"/>
      <c r="M198" s="24" t="str">
        <f t="shared" si="6"/>
        <v>-- 76,</v>
      </c>
    </row>
    <row r="199" spans="12:13">
      <c r="L199" s="24"/>
      <c r="M199" s="24" t="str">
        <f t="shared" si="6"/>
        <v>-- 77,</v>
      </c>
    </row>
    <row r="200" spans="12:13">
      <c r="L200" s="24"/>
      <c r="M200" s="24" t="str">
        <f t="shared" si="6"/>
        <v>-- 78,</v>
      </c>
    </row>
    <row r="201" spans="12:13">
      <c r="L201" s="24"/>
      <c r="M201" s="24" t="str">
        <f t="shared" si="6"/>
        <v>-- 79,</v>
      </c>
    </row>
    <row r="202" spans="12:13">
      <c r="L202" s="24"/>
      <c r="M202" s="24" t="str">
        <f t="shared" si="6"/>
        <v>-- 80,</v>
      </c>
    </row>
    <row r="203" spans="12:13">
      <c r="L203" s="24"/>
      <c r="M203" s="24" t="str">
        <f t="shared" si="6"/>
        <v>-- 81,</v>
      </c>
    </row>
    <row r="204" spans="12:13">
      <c r="L204" s="24"/>
      <c r="M204" s="24" t="str">
        <f t="shared" si="6"/>
        <v>-- 82,</v>
      </c>
    </row>
    <row r="205" spans="12:13">
      <c r="L205" s="24"/>
      <c r="M205" s="24" t="str">
        <f t="shared" si="6"/>
        <v>-- 83,</v>
      </c>
    </row>
    <row r="206" spans="12:13">
      <c r="L206" s="24"/>
      <c r="M206" s="24" t="str">
        <f t="shared" si="6"/>
        <v>-- 84,</v>
      </c>
    </row>
    <row r="207" spans="12:13">
      <c r="L207" s="24"/>
      <c r="M207" s="24" t="str">
        <f t="shared" si="6"/>
        <v>-- 85,</v>
      </c>
    </row>
    <row r="208" spans="12:13">
      <c r="L208" s="24"/>
      <c r="M208" s="24" t="str">
        <f t="shared" si="6"/>
        <v>-- 86,</v>
      </c>
    </row>
    <row r="209" spans="12:13">
      <c r="L209" s="24"/>
      <c r="M209" s="24" t="str">
        <f t="shared" si="6"/>
        <v>-- 87,</v>
      </c>
    </row>
    <row r="210" spans="12:13">
      <c r="L210" s="24"/>
      <c r="M210" s="24" t="str">
        <f t="shared" si="6"/>
        <v>-- 88,</v>
      </c>
    </row>
    <row r="211" spans="12:13">
      <c r="L211" s="24"/>
      <c r="M211" s="24" t="str">
        <f t="shared" si="6"/>
        <v>-- 89,</v>
      </c>
    </row>
    <row r="212" spans="12:13">
      <c r="L212" s="24"/>
      <c r="M212" s="24" t="str">
        <f t="shared" si="6"/>
        <v>-- 90,</v>
      </c>
    </row>
    <row r="213" spans="12:13">
      <c r="L213" s="24"/>
      <c r="M213" s="24" t="str">
        <f t="shared" si="6"/>
        <v>-- 91,</v>
      </c>
    </row>
    <row r="214" spans="12:13">
      <c r="L214" s="24"/>
      <c r="M214" s="24" t="str">
        <f t="shared" si="6"/>
        <v>-- 92,</v>
      </c>
    </row>
    <row r="215" spans="12:13">
      <c r="L215" s="24"/>
      <c r="M215" s="24" t="str">
        <f t="shared" si="6"/>
        <v>-- 93,</v>
      </c>
    </row>
    <row r="216" spans="12:13">
      <c r="L216" s="24"/>
      <c r="M216" s="24" t="str">
        <f t="shared" si="6"/>
        <v>-- 94,</v>
      </c>
    </row>
    <row r="217" spans="12:13">
      <c r="L217" s="24"/>
      <c r="M217" s="24" t="str">
        <f t="shared" si="6"/>
        <v>-- 95,</v>
      </c>
    </row>
    <row r="218" spans="12:13">
      <c r="L218" s="24"/>
      <c r="M218" s="24" t="str">
        <f t="shared" si="6"/>
        <v>-- 96,</v>
      </c>
    </row>
    <row r="219" spans="12:13">
      <c r="L219" s="24"/>
      <c r="M219" s="24" t="str">
        <f t="shared" si="6"/>
        <v>-- 97,</v>
      </c>
    </row>
    <row r="220" spans="12:13">
      <c r="L220" s="24"/>
      <c r="M220" s="24" t="str">
        <f t="shared" si="6"/>
        <v>-- 98,</v>
      </c>
    </row>
    <row r="221" spans="12:13">
      <c r="L221" s="24"/>
      <c r="M221" s="24" t="str">
        <f t="shared" si="6"/>
        <v>-- 99,</v>
      </c>
    </row>
    <row r="222" spans="12:13">
      <c r="L222" s="24"/>
      <c r="M222" s="24" t="str">
        <f t="shared" si="6"/>
        <v>-- 100,</v>
      </c>
    </row>
    <row r="223" spans="12:13">
      <c r="L223" s="24"/>
      <c r="M223" s="24"/>
    </row>
    <row r="224" spans="12:13">
      <c r="L224" s="24"/>
      <c r="M224" s="18" t="s">
        <v>651</v>
      </c>
    </row>
    <row r="225" spans="12:13">
      <c r="L225" s="24"/>
      <c r="M225" s="24" t="str">
        <f>REPT(" ",6)&amp;IF(ISBLANK($B7),"--"&amp;$A7,
LEFT(SUBSTITUTE($B7," ","*")&amp;
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storeNumber                   VARCHAR(256)                                                ,</v>
      </c>
    </row>
    <row r="226" spans="12:13">
      <c r="L226" s="24"/>
      <c r="M226" s="24" t="str">
        <f>IF(TRIM($B110)="","-- "&amp;$A110&amp;",",IF(LEFT($B110,2)="--","-- "&amp;$A110&amp;",","")&amp;"EXEC sp_addextendedproperty 'MS_Description', '"&amp;TRIM($C110)&amp;IF($K110="","","("&amp;$K110&amp;")")&amp;"', "&amp;REPT(" ",60-LENB(TRIM($C110)&amp;IF($K110="","","("&amp;$K110&amp;")")))&amp;" 'schema', 'dbo', N'table', '"&amp;TRIM($C$3)&amp;"', 'column', '"&amp;TRIM($B110)&amp;"';"&amp;REPT(" ",20-LENB(TRIM($B110)))&amp;"-- 컬럼")</f>
        <v>-- ,</v>
      </c>
    </row>
    <row r="227" spans="12:13">
      <c r="L227" s="24"/>
      <c r="M227" s="24" t="str">
        <f t="shared" ref="M227:M290" si="7">IF(TRIM($B111)="","-- "&amp;$A111&amp;",",IF(LEFT($B111,2)="--","-- "&amp;$A111&amp;",","")&amp;"EXEC sp_addextendedproperty 'MS_Description', '"&amp;TRIM($C111)&amp;IF($K111="","","("&amp;$K111&amp;")")&amp;"', "&amp;REPT(" ",60-LENB(TRIM($C111)&amp;IF($K111="","","("&amp;$K111&amp;")")))&amp;" 'schema', 'dbo', N'table', '"&amp;TRIM($C$3)&amp;"', 'column', '"&amp;TRIM($B111)&amp;"';"&amp;REPT(" ",20-LENB(TRIM($B111)))&amp;"-- 컬럼")</f>
        <v>-- ,</v>
      </c>
    </row>
    <row r="228" spans="12:13">
      <c r="L228" s="24"/>
      <c r="M228" s="24" t="str">
        <f t="shared" si="7"/>
        <v>-- ,</v>
      </c>
    </row>
    <row r="229" spans="12:13">
      <c r="L229" s="24"/>
      <c r="M229" s="24" t="str">
        <f t="shared" si="7"/>
        <v>-- ,</v>
      </c>
    </row>
    <row r="230" spans="12:13">
      <c r="L230" s="24"/>
      <c r="M230" s="24" t="str">
        <f t="shared" si="7"/>
        <v>-- ,</v>
      </c>
    </row>
    <row r="231" spans="12:13">
      <c r="L231" s="24"/>
      <c r="M231" s="24" t="str">
        <f t="shared" si="7"/>
        <v>-- ,</v>
      </c>
    </row>
    <row r="232" spans="12:13">
      <c r="L232" s="24"/>
      <c r="M232" s="24" t="str">
        <f t="shared" si="7"/>
        <v>-- ,</v>
      </c>
    </row>
    <row r="233" spans="12:13">
      <c r="L233" s="24"/>
      <c r="M233" s="24" t="str">
        <f t="shared" si="7"/>
        <v>-- ,</v>
      </c>
    </row>
    <row r="234" spans="12:13">
      <c r="L234" s="24"/>
      <c r="M234" s="24" t="str">
        <f t="shared" si="7"/>
        <v>-- ,</v>
      </c>
    </row>
    <row r="235" spans="12:13">
      <c r="L235" s="24"/>
      <c r="M235" s="24" t="str">
        <f t="shared" si="7"/>
        <v>EXEC sp_addextendedproperty 'MS_Description', '',                                                              'schema', 'dbo', N'table', 'Stores', 'column', '*초기데이터';         -- 컬럼</v>
      </c>
    </row>
    <row r="236" spans="12:13">
      <c r="L236" s="24"/>
      <c r="M236" s="24" t="str">
        <f t="shared" si="7"/>
        <v>-- ,</v>
      </c>
    </row>
    <row r="237" spans="12:13">
      <c r="L237" s="24"/>
      <c r="M237" s="24" t="str">
        <f t="shared" si="7"/>
        <v>-- ,</v>
      </c>
    </row>
    <row r="238" spans="12:13">
      <c r="L238" s="24"/>
      <c r="M238" s="24" t="str">
        <f t="shared" si="7"/>
        <v>-- ,</v>
      </c>
    </row>
    <row r="239" spans="12:13">
      <c r="L239" s="24"/>
      <c r="M239" s="24" t="str">
        <f t="shared" si="7"/>
        <v>-- ,</v>
      </c>
    </row>
    <row r="240" spans="12:13">
      <c r="L240" s="24"/>
      <c r="M240" s="24" t="str">
        <f t="shared" si="7"/>
        <v>-- ,</v>
      </c>
    </row>
    <row r="241" spans="12:13">
      <c r="L241" s="24"/>
      <c r="M241" s="24" t="str">
        <f t="shared" si="7"/>
        <v>-- ,</v>
      </c>
    </row>
    <row r="242" spans="12:13">
      <c r="L242" s="24"/>
      <c r="M242" s="24" t="str">
        <f t="shared" si="7"/>
        <v>-- ,</v>
      </c>
    </row>
    <row r="243" spans="12:13">
      <c r="L243" s="24"/>
      <c r="M243" s="24" t="str">
        <f t="shared" si="7"/>
        <v>-- ,</v>
      </c>
    </row>
    <row r="244" spans="12:13">
      <c r="L244" s="24"/>
      <c r="M244" s="24" t="str">
        <f t="shared" si="7"/>
        <v>-- ,</v>
      </c>
    </row>
    <row r="245" spans="12:13">
      <c r="L245" s="24"/>
      <c r="M245" s="24" t="str">
        <f t="shared" si="7"/>
        <v>-- ,</v>
      </c>
    </row>
    <row r="246" spans="12:13">
      <c r="L246" s="24"/>
      <c r="M246" s="24" t="str">
        <f t="shared" si="7"/>
        <v>-- ,</v>
      </c>
    </row>
    <row r="247" spans="12:13">
      <c r="L247" s="24"/>
      <c r="M247" s="24" t="str">
        <f t="shared" si="7"/>
        <v>-- ,</v>
      </c>
    </row>
    <row r="248" spans="12:13">
      <c r="L248" s="24"/>
      <c r="M248" s="24" t="str">
        <f t="shared" si="7"/>
        <v>-- ,</v>
      </c>
    </row>
    <row r="249" spans="12:13">
      <c r="L249" s="24"/>
      <c r="M249" s="24" t="str">
        <f t="shared" si="7"/>
        <v>-- ,</v>
      </c>
    </row>
    <row r="250" spans="12:13">
      <c r="L250" s="24"/>
      <c r="M250" s="24" t="str">
        <f t="shared" si="7"/>
        <v>-- ,</v>
      </c>
    </row>
    <row r="251" spans="12:13">
      <c r="L251" s="24"/>
      <c r="M251" s="24" t="str">
        <f t="shared" si="7"/>
        <v>-- ,</v>
      </c>
    </row>
    <row r="252" spans="12:13">
      <c r="L252" s="24"/>
      <c r="M252" s="24" t="str">
        <f t="shared" si="7"/>
        <v>-- ,</v>
      </c>
    </row>
    <row r="253" spans="12:13">
      <c r="L253" s="24"/>
      <c r="M253" s="24" t="str">
        <f t="shared" si="7"/>
        <v>-- ,</v>
      </c>
    </row>
    <row r="254" spans="12:13">
      <c r="L254" s="24"/>
      <c r="M254" s="24" t="str">
        <f t="shared" si="7"/>
        <v>-- ,</v>
      </c>
    </row>
    <row r="255" spans="12:13">
      <c r="L255" s="24"/>
      <c r="M255" s="24" t="str">
        <f t="shared" si="7"/>
        <v>-- ,</v>
      </c>
    </row>
    <row r="256" spans="12:13">
      <c r="L256" s="24"/>
      <c r="M256" s="24" t="str">
        <f t="shared" si="7"/>
        <v>-- ,</v>
      </c>
    </row>
    <row r="257" spans="12:13">
      <c r="L257" s="24"/>
      <c r="M257" s="24" t="str">
        <f t="shared" si="7"/>
        <v>-- ,</v>
      </c>
    </row>
    <row r="258" spans="12:13">
      <c r="L258" s="24"/>
      <c r="M258" s="24" t="str">
        <f t="shared" si="7"/>
        <v>-- ,</v>
      </c>
    </row>
    <row r="259" spans="12:13">
      <c r="L259" s="24"/>
      <c r="M259" s="24" t="str">
        <f t="shared" si="7"/>
        <v>-- ,</v>
      </c>
    </row>
    <row r="260" spans="12:13">
      <c r="L260" s="24"/>
      <c r="M260" s="24" t="str">
        <f t="shared" si="7"/>
        <v>-- ,</v>
      </c>
    </row>
    <row r="261" spans="12:13">
      <c r="L261" s="24"/>
      <c r="M261" s="24" t="str">
        <f t="shared" si="7"/>
        <v>-- ,</v>
      </c>
    </row>
    <row r="262" spans="12:13">
      <c r="L262" s="24"/>
      <c r="M262" s="24" t="str">
        <f t="shared" si="7"/>
        <v>-- ,</v>
      </c>
    </row>
    <row r="263" spans="12:13">
      <c r="L263" s="24"/>
      <c r="M263" s="24" t="str">
        <f t="shared" si="7"/>
        <v>-- ,</v>
      </c>
    </row>
    <row r="264" spans="12:13">
      <c r="L264" s="24"/>
      <c r="M264" s="24" t="str">
        <f t="shared" si="7"/>
        <v>-- ,</v>
      </c>
    </row>
    <row r="265" spans="12:13">
      <c r="L265" s="24"/>
      <c r="M265" s="24" t="str">
        <f t="shared" si="7"/>
        <v>-- ,</v>
      </c>
    </row>
    <row r="266" spans="12:13">
      <c r="L266" s="24"/>
      <c r="M266" s="24" t="str">
        <f t="shared" si="7"/>
        <v>-- ,</v>
      </c>
    </row>
    <row r="267" spans="12:13">
      <c r="L267" s="24"/>
      <c r="M267" s="24" t="str">
        <f t="shared" si="7"/>
        <v>-- ,</v>
      </c>
    </row>
    <row r="268" spans="12:13">
      <c r="L268" s="24"/>
      <c r="M268" s="24" t="str">
        <f t="shared" si="7"/>
        <v>-- ,</v>
      </c>
    </row>
    <row r="269" spans="12:13">
      <c r="L269" s="24"/>
      <c r="M269" s="24" t="str">
        <f t="shared" si="7"/>
        <v>-- ,</v>
      </c>
    </row>
    <row r="270" spans="12:13">
      <c r="L270" s="24"/>
      <c r="M270" s="24" t="str">
        <f t="shared" si="7"/>
        <v>-- ,</v>
      </c>
    </row>
    <row r="271" spans="12:13">
      <c r="L271" s="24"/>
      <c r="M271" s="24" t="str">
        <f t="shared" si="7"/>
        <v>-- ,</v>
      </c>
    </row>
    <row r="272" spans="12:13">
      <c r="L272" s="24"/>
      <c r="M272" s="24" t="str">
        <f t="shared" si="7"/>
        <v>-- ,</v>
      </c>
    </row>
    <row r="273" spans="12:13">
      <c r="L273" s="24"/>
      <c r="M273" s="24" t="str">
        <f t="shared" si="7"/>
        <v>-- ,</v>
      </c>
    </row>
    <row r="274" spans="12:13">
      <c r="L274" s="24"/>
      <c r="M274" s="24" t="str">
        <f t="shared" si="7"/>
        <v>-- ,</v>
      </c>
    </row>
    <row r="275" spans="12:13">
      <c r="L275" s="24"/>
      <c r="M275" s="24" t="str">
        <f t="shared" si="7"/>
        <v>-- ,</v>
      </c>
    </row>
    <row r="276" spans="12:13">
      <c r="L276" s="24"/>
      <c r="M276" s="24" t="str">
        <f t="shared" si="7"/>
        <v>-- ,</v>
      </c>
    </row>
    <row r="277" spans="12:13">
      <c r="L277" s="24"/>
      <c r="M277" s="24" t="str">
        <f t="shared" si="7"/>
        <v>-- ,</v>
      </c>
    </row>
    <row r="278" spans="12:13">
      <c r="L278" s="24"/>
      <c r="M278" s="24" t="str">
        <f t="shared" si="7"/>
        <v>-- ,</v>
      </c>
    </row>
    <row r="279" spans="12:13">
      <c r="L279" s="24"/>
      <c r="M279" s="24" t="str">
        <f t="shared" si="7"/>
        <v>-- ,</v>
      </c>
    </row>
    <row r="280" spans="12:13">
      <c r="L280" s="24"/>
      <c r="M280" s="24" t="str">
        <f t="shared" si="7"/>
        <v>-- ,</v>
      </c>
    </row>
    <row r="281" spans="12:13">
      <c r="L281" s="24"/>
      <c r="M281" s="24" t="str">
        <f t="shared" si="7"/>
        <v>-- ,</v>
      </c>
    </row>
    <row r="282" spans="12:13">
      <c r="L282" s="24"/>
      <c r="M282" s="24" t="str">
        <f t="shared" si="7"/>
        <v>-- ,</v>
      </c>
    </row>
    <row r="283" spans="12:13">
      <c r="L283" s="24"/>
      <c r="M283" s="24" t="str">
        <f t="shared" si="7"/>
        <v>-- ,</v>
      </c>
    </row>
    <row r="284" spans="12:13">
      <c r="L284" s="24"/>
      <c r="M284" s="24" t="str">
        <f t="shared" si="7"/>
        <v>-- ,</v>
      </c>
    </row>
    <row r="285" spans="12:13">
      <c r="L285" s="24"/>
      <c r="M285" s="24" t="str">
        <f t="shared" si="7"/>
        <v>-- ,</v>
      </c>
    </row>
    <row r="286" spans="12:13">
      <c r="L286" s="24"/>
      <c r="M286" s="24" t="str">
        <f t="shared" si="7"/>
        <v>-- ,</v>
      </c>
    </row>
    <row r="287" spans="12:13">
      <c r="L287" s="24"/>
      <c r="M287" s="24" t="str">
        <f t="shared" si="7"/>
        <v>-- ,</v>
      </c>
    </row>
    <row r="288" spans="12:13">
      <c r="L288" s="24"/>
      <c r="M288" s="24" t="str">
        <f t="shared" si="7"/>
        <v>-- ,</v>
      </c>
    </row>
    <row r="289" spans="12:13">
      <c r="L289" s="24"/>
      <c r="M289" s="24" t="str">
        <f t="shared" si="7"/>
        <v>-- ,</v>
      </c>
    </row>
    <row r="290" spans="12:13">
      <c r="L290" s="24"/>
      <c r="M290" s="24" t="str">
        <f t="shared" si="7"/>
        <v>-- ,</v>
      </c>
    </row>
    <row r="291" spans="12:13">
      <c r="L291" s="24"/>
      <c r="M291" s="24" t="str">
        <f t="shared" ref="M291:M324" si="8">IF(TRIM($B175)="","-- "&amp;$A175&amp;",",IF(LEFT($B175,2)="--","-- "&amp;$A175&amp;",","")&amp;"EXEC sp_addextendedproperty 'MS_Description', '"&amp;TRIM($C175)&amp;IF($K175="","","("&amp;$K175&amp;")")&amp;"', "&amp;REPT(" ",60-LENB(TRIM($C175)&amp;IF($K175="","","("&amp;$K175&amp;")")))&amp;" 'schema', 'dbo', N'table', '"&amp;TRIM($C$3)&amp;"', 'column', '"&amp;TRIM($B175)&amp;"';"&amp;REPT(" ",20-LENB(TRIM($B175)))&amp;"-- 컬럼")</f>
        <v>-- ,</v>
      </c>
    </row>
    <row r="292" spans="12:13">
      <c r="L292" s="24"/>
      <c r="M292" s="24" t="str">
        <f t="shared" si="8"/>
        <v>-- ,</v>
      </c>
    </row>
    <row r="293" spans="12:13">
      <c r="L293" s="24"/>
      <c r="M293" s="24" t="str">
        <f t="shared" si="8"/>
        <v>-- ,</v>
      </c>
    </row>
    <row r="294" spans="12:13">
      <c r="L294" s="24"/>
      <c r="M294" s="24" t="str">
        <f t="shared" si="8"/>
        <v>-- ,</v>
      </c>
    </row>
    <row r="295" spans="12:13">
      <c r="L295" s="24"/>
      <c r="M295" s="24" t="str">
        <f t="shared" si="8"/>
        <v>-- ,</v>
      </c>
    </row>
    <row r="296" spans="12:13">
      <c r="L296" s="24"/>
      <c r="M296" s="24" t="str">
        <f t="shared" si="8"/>
        <v>-- ,</v>
      </c>
    </row>
    <row r="297" spans="12:13">
      <c r="L297" s="24"/>
      <c r="M297" s="24" t="str">
        <f t="shared" si="8"/>
        <v>-- ,</v>
      </c>
    </row>
    <row r="298" spans="12:13">
      <c r="L298" s="24"/>
      <c r="M298" s="24" t="str">
        <f t="shared" si="8"/>
        <v>-- ,</v>
      </c>
    </row>
    <row r="299" spans="12:13">
      <c r="L299" s="24"/>
      <c r="M299" s="24" t="str">
        <f t="shared" si="8"/>
        <v>-- ,</v>
      </c>
    </row>
    <row r="300" spans="12:13">
      <c r="L300" s="24"/>
      <c r="M300" s="24" t="str">
        <f t="shared" si="8"/>
        <v>-- ,</v>
      </c>
    </row>
    <row r="301" spans="12:13">
      <c r="L301" s="24"/>
      <c r="M301" s="24" t="str">
        <f t="shared" si="8"/>
        <v>-- ,</v>
      </c>
    </row>
    <row r="302" spans="12:13">
      <c r="L302" s="24"/>
      <c r="M302" s="24" t="str">
        <f t="shared" si="8"/>
        <v>-- ,</v>
      </c>
    </row>
    <row r="303" spans="12:13">
      <c r="L303" s="24"/>
      <c r="M303" s="24" t="str">
        <f t="shared" si="8"/>
        <v>-- ,</v>
      </c>
    </row>
    <row r="304" spans="12:13">
      <c r="L304" s="24"/>
      <c r="M304" s="24" t="str">
        <f t="shared" si="8"/>
        <v>-- ,</v>
      </c>
    </row>
    <row r="305" spans="12:13">
      <c r="L305" s="24"/>
      <c r="M305" s="24" t="str">
        <f t="shared" si="8"/>
        <v>-- ,</v>
      </c>
    </row>
    <row r="306" spans="12:13">
      <c r="L306" s="24"/>
      <c r="M306" s="24" t="str">
        <f t="shared" si="8"/>
        <v>-- ,</v>
      </c>
    </row>
    <row r="307" spans="12:13">
      <c r="L307" s="24"/>
      <c r="M307" s="24" t="str">
        <f t="shared" si="8"/>
        <v>-- ,</v>
      </c>
    </row>
    <row r="308" spans="12:13">
      <c r="L308" s="24"/>
      <c r="M308" s="24" t="str">
        <f t="shared" si="8"/>
        <v>-- ,</v>
      </c>
    </row>
    <row r="309" spans="12:13">
      <c r="L309" s="24"/>
      <c r="M309" s="24" t="str">
        <f t="shared" si="8"/>
        <v>-- ,</v>
      </c>
    </row>
    <row r="310" spans="12:13">
      <c r="L310" s="24"/>
      <c r="M310" s="24" t="str">
        <f t="shared" si="8"/>
        <v>-- ,</v>
      </c>
    </row>
    <row r="311" spans="12:13">
      <c r="L311" s="24"/>
      <c r="M311" s="24" t="str">
        <f t="shared" si="8"/>
        <v>-- ,</v>
      </c>
    </row>
    <row r="312" spans="12:13">
      <c r="L312" s="24"/>
      <c r="M312" s="24" t="str">
        <f t="shared" si="8"/>
        <v>-- ,</v>
      </c>
    </row>
    <row r="313" spans="12:13">
      <c r="L313" s="24"/>
      <c r="M313" s="24" t="str">
        <f t="shared" si="8"/>
        <v>-- ,</v>
      </c>
    </row>
    <row r="314" spans="12:13">
      <c r="L314" s="24"/>
      <c r="M314" s="24" t="str">
        <f t="shared" si="8"/>
        <v>-- ,</v>
      </c>
    </row>
    <row r="315" spans="12:13">
      <c r="L315" s="24"/>
      <c r="M315" s="24" t="str">
        <f t="shared" si="8"/>
        <v>-- ,</v>
      </c>
    </row>
    <row r="316" spans="12:13">
      <c r="L316" s="24"/>
      <c r="M316" s="24" t="str">
        <f t="shared" si="8"/>
        <v>-- ,</v>
      </c>
    </row>
    <row r="317" spans="12:13">
      <c r="L317" s="24"/>
      <c r="M317" s="24" t="str">
        <f t="shared" si="8"/>
        <v>-- ,</v>
      </c>
    </row>
    <row r="318" spans="12:13">
      <c r="L318" s="24"/>
      <c r="M318" s="24" t="str">
        <f t="shared" si="8"/>
        <v>-- ,</v>
      </c>
    </row>
    <row r="319" spans="12:13">
      <c r="L319" s="24"/>
      <c r="M319" s="24" t="str">
        <f t="shared" si="8"/>
        <v>-- ,</v>
      </c>
    </row>
    <row r="320" spans="12:13">
      <c r="L320" s="24"/>
      <c r="M320" s="24" t="str">
        <f t="shared" si="8"/>
        <v>-- ,</v>
      </c>
    </row>
    <row r="321" spans="12:13">
      <c r="L321" s="24"/>
      <c r="M321" s="24" t="str">
        <f t="shared" si="8"/>
        <v>-- ,</v>
      </c>
    </row>
    <row r="322" spans="12:13">
      <c r="L322" s="24"/>
      <c r="M322" s="24" t="str">
        <f t="shared" si="8"/>
        <v>-- ,</v>
      </c>
    </row>
    <row r="323" spans="12:13">
      <c r="L323" s="24"/>
      <c r="M323" s="24" t="str">
        <f t="shared" si="8"/>
        <v>-- ,</v>
      </c>
    </row>
    <row r="324" spans="12:13">
      <c r="L324" s="24"/>
      <c r="M324" s="24" t="str">
        <f t="shared" si="8"/>
        <v>-- ,</v>
      </c>
    </row>
    <row r="325" spans="12:13">
      <c r="L325" s="24"/>
      <c r="M325" s="20" t="s">
        <v>652</v>
      </c>
    </row>
    <row r="326" spans="12:13">
      <c r="M326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'상점',                                                          'schema', 'dbo', 'table', 'Stores';                  -- 테이블</v>
      </c>
    </row>
    <row r="328" spans="12:13">
      <c r="M328" s="20" t="s">
        <v>653</v>
      </c>
    </row>
    <row r="329" spans="12:13">
      <c r="M329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'상점',                                                          'schema', 'dbo', 'table', 'Stores';                  -- 테이블</v>
      </c>
    </row>
    <row r="330" spans="12:13">
      <c r="M330" s="24" t="str">
        <f>IF(TRIM($B214)="","-- "&amp;$A214&amp;",",IF(LEFT($B214,2)="--","-- "&amp;$A214&amp;",","")&amp;"EXEC sp_addextendedproperty 'MS_Description', '"&amp;TRIM($C214)&amp;IF($K214="","","("&amp;$K214&amp;")")&amp;"', "&amp;REPT(" ",60-LENB(TRIM($C214)&amp;IF($K214="","","("&amp;$K214&amp;")")))&amp;" 'schema', 'dbo', N'table', '"&amp;TRIM($C$3)&amp;"', 'column', '"&amp;TRIM($B214)&amp;"';"&amp;REPT(" ",20-LENB(TRIM($B214)))&amp;"-- 컬럼")</f>
        <v>-- ,</v>
      </c>
    </row>
    <row r="331" spans="12:13">
      <c r="M331" s="24" t="str">
        <f t="shared" ref="M331:M394" si="9">IF(TRIM($B215)="","-- "&amp;$A215&amp;",",IF(LEFT($B215,2)="--","-- "&amp;$A215&amp;",","")&amp;"EXEC sp_addextendedproperty 'MS_Description', '"&amp;TRIM($C215)&amp;IF($K215="","","("&amp;$K215&amp;")")&amp;"', "&amp;REPT(" ",60-LENB(TRIM($C215)&amp;IF($K215="","","("&amp;$K215&amp;")")))&amp;" 'schema', 'dbo', N'table', '"&amp;TRIM($C$3)&amp;"', 'column', '"&amp;TRIM($B215)&amp;"';"&amp;REPT(" ",20-LENB(TRIM($B215)))&amp;"-- 컬럼")</f>
        <v>-- ,</v>
      </c>
    </row>
    <row r="332" spans="12:13">
      <c r="M332" s="24" t="str">
        <f t="shared" si="9"/>
        <v>-- ,</v>
      </c>
    </row>
    <row r="333" spans="12:13">
      <c r="M333" s="24" t="str">
        <f t="shared" si="9"/>
        <v>-- ,</v>
      </c>
    </row>
    <row r="334" spans="12:13">
      <c r="M334" s="24" t="str">
        <f t="shared" si="9"/>
        <v>-- ,</v>
      </c>
    </row>
    <row r="335" spans="12:13">
      <c r="M335" s="24" t="str">
        <f t="shared" si="9"/>
        <v>-- ,</v>
      </c>
    </row>
    <row r="336" spans="12:13">
      <c r="M336" s="24" t="str">
        <f t="shared" si="9"/>
        <v>-- ,</v>
      </c>
    </row>
    <row r="337" spans="13:13">
      <c r="M337" s="24" t="str">
        <f t="shared" si="9"/>
        <v>-- ,</v>
      </c>
    </row>
    <row r="338" spans="13:13">
      <c r="M338" s="24" t="str">
        <f t="shared" si="9"/>
        <v>-- ,</v>
      </c>
    </row>
    <row r="339" spans="13:13">
      <c r="M339" s="24" t="str">
        <f t="shared" si="9"/>
        <v>-- ,</v>
      </c>
    </row>
    <row r="340" spans="13:13">
      <c r="M340" s="24" t="str">
        <f t="shared" si="9"/>
        <v>-- ,</v>
      </c>
    </row>
    <row r="341" spans="13:13">
      <c r="M341" s="24" t="str">
        <f t="shared" si="9"/>
        <v>-- ,</v>
      </c>
    </row>
    <row r="342" spans="13:13">
      <c r="M342" s="24" t="str">
        <f t="shared" si="9"/>
        <v>-- ,</v>
      </c>
    </row>
    <row r="343" spans="13:13">
      <c r="M343" s="24" t="str">
        <f t="shared" si="9"/>
        <v>-- ,</v>
      </c>
    </row>
    <row r="344" spans="13:13">
      <c r="M344" s="24" t="str">
        <f t="shared" si="9"/>
        <v>-- ,</v>
      </c>
    </row>
    <row r="345" spans="13:13">
      <c r="M345" s="24" t="str">
        <f t="shared" si="9"/>
        <v>-- ,</v>
      </c>
    </row>
    <row r="346" spans="13:13">
      <c r="M346" s="24" t="str">
        <f t="shared" si="9"/>
        <v>-- ,</v>
      </c>
    </row>
    <row r="347" spans="13:13">
      <c r="M347" s="24" t="str">
        <f t="shared" si="9"/>
        <v>-- ,</v>
      </c>
    </row>
    <row r="348" spans="13:13">
      <c r="M348" s="24" t="str">
        <f t="shared" si="9"/>
        <v>-- ,</v>
      </c>
    </row>
    <row r="349" spans="13:13">
      <c r="M349" s="24" t="str">
        <f t="shared" si="9"/>
        <v>-- ,</v>
      </c>
    </row>
    <row r="350" spans="13:13">
      <c r="M350" s="24" t="str">
        <f t="shared" si="9"/>
        <v>-- ,</v>
      </c>
    </row>
    <row r="351" spans="13:13">
      <c r="M351" s="24" t="str">
        <f t="shared" si="9"/>
        <v>-- ,</v>
      </c>
    </row>
    <row r="352" spans="13:13">
      <c r="M352" s="24" t="str">
        <f t="shared" si="9"/>
        <v>-- ,</v>
      </c>
    </row>
    <row r="353" spans="13:13">
      <c r="M353" s="24" t="str">
        <f t="shared" si="9"/>
        <v>-- ,</v>
      </c>
    </row>
    <row r="354" spans="13:13">
      <c r="M354" s="24" t="str">
        <f t="shared" si="9"/>
        <v>-- ,</v>
      </c>
    </row>
    <row r="355" spans="13:13">
      <c r="M355" s="24" t="str">
        <f t="shared" si="9"/>
        <v>-- ,</v>
      </c>
    </row>
    <row r="356" spans="13:13">
      <c r="M356" s="24" t="str">
        <f t="shared" si="9"/>
        <v>-- ,</v>
      </c>
    </row>
    <row r="357" spans="13:13">
      <c r="M357" s="24" t="str">
        <f t="shared" si="9"/>
        <v>-- ,</v>
      </c>
    </row>
    <row r="358" spans="13:13">
      <c r="M358" s="24" t="str">
        <f t="shared" si="9"/>
        <v>-- ,</v>
      </c>
    </row>
    <row r="359" spans="13:13">
      <c r="M359" s="24" t="str">
        <f t="shared" si="9"/>
        <v>-- ,</v>
      </c>
    </row>
    <row r="360" spans="13:13">
      <c r="M360" s="24" t="str">
        <f t="shared" si="9"/>
        <v>-- ,</v>
      </c>
    </row>
    <row r="361" spans="13:13">
      <c r="M361" s="24" t="str">
        <f t="shared" si="9"/>
        <v>-- ,</v>
      </c>
    </row>
    <row r="362" spans="13:13">
      <c r="M362" s="24" t="str">
        <f t="shared" si="9"/>
        <v>-- ,</v>
      </c>
    </row>
    <row r="363" spans="13:13">
      <c r="M363" s="24" t="str">
        <f t="shared" si="9"/>
        <v>-- ,</v>
      </c>
    </row>
    <row r="364" spans="13:13">
      <c r="M364" s="24" t="str">
        <f t="shared" si="9"/>
        <v>-- ,</v>
      </c>
    </row>
    <row r="365" spans="13:13">
      <c r="M365" s="24" t="str">
        <f t="shared" si="9"/>
        <v>-- ,</v>
      </c>
    </row>
    <row r="366" spans="13:13">
      <c r="M366" s="24" t="str">
        <f t="shared" si="9"/>
        <v>-- ,</v>
      </c>
    </row>
    <row r="367" spans="13:13">
      <c r="M367" s="24" t="str">
        <f t="shared" si="9"/>
        <v>-- ,</v>
      </c>
    </row>
    <row r="368" spans="13:13">
      <c r="M368" s="24" t="str">
        <f t="shared" si="9"/>
        <v>-- ,</v>
      </c>
    </row>
    <row r="369" spans="13:13">
      <c r="M369" s="24" t="str">
        <f t="shared" si="9"/>
        <v>-- ,</v>
      </c>
    </row>
    <row r="370" spans="13:13">
      <c r="M370" s="24" t="str">
        <f t="shared" si="9"/>
        <v>-- ,</v>
      </c>
    </row>
    <row r="371" spans="13:13">
      <c r="M371" s="24" t="str">
        <f t="shared" si="9"/>
        <v>-- ,</v>
      </c>
    </row>
    <row r="372" spans="13:13">
      <c r="M372" s="24" t="str">
        <f t="shared" si="9"/>
        <v>-- ,</v>
      </c>
    </row>
    <row r="373" spans="13:13">
      <c r="M373" s="24" t="str">
        <f t="shared" si="9"/>
        <v>-- ,</v>
      </c>
    </row>
    <row r="374" spans="13:13">
      <c r="M374" s="24" t="str">
        <f t="shared" si="9"/>
        <v>-- ,</v>
      </c>
    </row>
    <row r="375" spans="13:13">
      <c r="M375" s="24" t="str">
        <f t="shared" si="9"/>
        <v>-- ,</v>
      </c>
    </row>
    <row r="376" spans="13:13">
      <c r="M376" s="24" t="str">
        <f t="shared" si="9"/>
        <v>-- ,</v>
      </c>
    </row>
    <row r="377" spans="13:13">
      <c r="M377" s="24" t="str">
        <f t="shared" si="9"/>
        <v>-- ,</v>
      </c>
    </row>
    <row r="378" spans="13:13">
      <c r="M378" s="24" t="str">
        <f t="shared" si="9"/>
        <v>-- ,</v>
      </c>
    </row>
    <row r="379" spans="13:13">
      <c r="M379" s="24" t="str">
        <f t="shared" si="9"/>
        <v>-- ,</v>
      </c>
    </row>
    <row r="380" spans="13:13">
      <c r="M380" s="24" t="str">
        <f t="shared" si="9"/>
        <v>-- ,</v>
      </c>
    </row>
    <row r="381" spans="13:13">
      <c r="M381" s="24" t="str">
        <f t="shared" si="9"/>
        <v>-- ,</v>
      </c>
    </row>
    <row r="382" spans="13:13">
      <c r="M382" s="24" t="str">
        <f t="shared" si="9"/>
        <v>-- ,</v>
      </c>
    </row>
    <row r="383" spans="13:13">
      <c r="M383" s="24" t="str">
        <f t="shared" si="9"/>
        <v>-- ,</v>
      </c>
    </row>
    <row r="384" spans="13:13">
      <c r="M384" s="24" t="str">
        <f t="shared" si="9"/>
        <v>-- ,</v>
      </c>
    </row>
    <row r="385" spans="13:13">
      <c r="M385" s="24" t="str">
        <f t="shared" si="9"/>
        <v>-- ,</v>
      </c>
    </row>
    <row r="386" spans="13:13">
      <c r="M386" s="24" t="str">
        <f t="shared" si="9"/>
        <v>-- ,</v>
      </c>
    </row>
    <row r="387" spans="13:13">
      <c r="M387" s="24" t="str">
        <f t="shared" si="9"/>
        <v>-- ,</v>
      </c>
    </row>
    <row r="388" spans="13:13">
      <c r="M388" s="24" t="str">
        <f t="shared" si="9"/>
        <v>-- ,</v>
      </c>
    </row>
    <row r="389" spans="13:13">
      <c r="M389" s="24" t="str">
        <f t="shared" si="9"/>
        <v>-- ,</v>
      </c>
    </row>
    <row r="390" spans="13:13">
      <c r="M390" s="24" t="str">
        <f t="shared" si="9"/>
        <v>-- ,</v>
      </c>
    </row>
    <row r="391" spans="13:13">
      <c r="M391" s="24" t="str">
        <f t="shared" si="9"/>
        <v>-- ,</v>
      </c>
    </row>
    <row r="392" spans="13:13">
      <c r="M392" s="24" t="str">
        <f t="shared" si="9"/>
        <v>-- ,</v>
      </c>
    </row>
    <row r="393" spans="13:13">
      <c r="M393" s="24" t="str">
        <f t="shared" si="9"/>
        <v>-- ,</v>
      </c>
    </row>
    <row r="394" spans="13:13">
      <c r="M394" s="24" t="str">
        <f t="shared" si="9"/>
        <v>-- ,</v>
      </c>
    </row>
    <row r="395" spans="13:13">
      <c r="M395" s="24" t="str">
        <f t="shared" ref="M395:M429" si="10">IF(TRIM($B279)="","-- "&amp;$A279&amp;",",IF(LEFT($B279,2)="--","-- "&amp;$A279&amp;",","")&amp;"EXEC sp_addextendedproperty 'MS_Description', '"&amp;TRIM($C279)&amp;IF($K279="","","("&amp;$K279&amp;")")&amp;"', "&amp;REPT(" ",60-LENB(TRIM($C279)&amp;IF($K279="","","("&amp;$K279&amp;")")))&amp;" 'schema', 'dbo', N'table', '"&amp;TRIM($C$3)&amp;"', 'column', '"&amp;TRIM($B279)&amp;"';"&amp;REPT(" ",20-LENB(TRIM($B279)))&amp;"-- 컬럼")</f>
        <v>-- ,</v>
      </c>
    </row>
    <row r="396" spans="13:13">
      <c r="M396" s="24" t="str">
        <f t="shared" si="10"/>
        <v>-- ,</v>
      </c>
    </row>
    <row r="397" spans="13:13">
      <c r="M397" s="24" t="str">
        <f t="shared" si="10"/>
        <v>-- ,</v>
      </c>
    </row>
    <row r="398" spans="13:13">
      <c r="M398" s="24" t="str">
        <f t="shared" si="10"/>
        <v>-- ,</v>
      </c>
    </row>
    <row r="399" spans="13:13">
      <c r="M399" s="24" t="str">
        <f t="shared" si="10"/>
        <v>-- ,</v>
      </c>
    </row>
    <row r="400" spans="13:13">
      <c r="M400" s="24" t="str">
        <f t="shared" si="10"/>
        <v>-- ,</v>
      </c>
    </row>
    <row r="401" spans="13:13">
      <c r="M401" s="24" t="str">
        <f t="shared" si="10"/>
        <v>-- ,</v>
      </c>
    </row>
    <row r="402" spans="13:13">
      <c r="M402" s="24" t="str">
        <f t="shared" si="10"/>
        <v>-- ,</v>
      </c>
    </row>
    <row r="403" spans="13:13">
      <c r="M403" s="24" t="str">
        <f t="shared" si="10"/>
        <v>-- ,</v>
      </c>
    </row>
    <row r="404" spans="13:13">
      <c r="M404" s="24" t="str">
        <f t="shared" si="10"/>
        <v>-- ,</v>
      </c>
    </row>
    <row r="405" spans="13:13">
      <c r="M405" s="24" t="str">
        <f t="shared" si="10"/>
        <v>-- ,</v>
      </c>
    </row>
    <row r="406" spans="13:13">
      <c r="M406" s="24" t="str">
        <f t="shared" si="10"/>
        <v>-- ,</v>
      </c>
    </row>
    <row r="407" spans="13:13">
      <c r="M407" s="24" t="str">
        <f t="shared" si="10"/>
        <v>-- ,</v>
      </c>
    </row>
    <row r="408" spans="13:13">
      <c r="M408" s="24" t="str">
        <f t="shared" si="10"/>
        <v>-- ,</v>
      </c>
    </row>
    <row r="409" spans="13:13">
      <c r="M409" s="24" t="str">
        <f t="shared" si="10"/>
        <v>-- ,</v>
      </c>
    </row>
    <row r="410" spans="13:13">
      <c r="M410" s="24" t="str">
        <f t="shared" si="10"/>
        <v>-- ,</v>
      </c>
    </row>
    <row r="411" spans="13:13">
      <c r="M411" s="24" t="str">
        <f t="shared" si="10"/>
        <v>-- ,</v>
      </c>
    </row>
    <row r="412" spans="13:13">
      <c r="M412" s="24" t="str">
        <f t="shared" si="10"/>
        <v>-- ,</v>
      </c>
    </row>
    <row r="413" spans="13:13">
      <c r="M413" s="24" t="str">
        <f t="shared" si="10"/>
        <v>-- ,</v>
      </c>
    </row>
    <row r="414" spans="13:13">
      <c r="M414" s="24" t="str">
        <f t="shared" si="10"/>
        <v>-- ,</v>
      </c>
    </row>
    <row r="415" spans="13:13">
      <c r="M415" s="24" t="str">
        <f t="shared" si="10"/>
        <v>-- ,</v>
      </c>
    </row>
    <row r="416" spans="13:13">
      <c r="M416" s="24" t="str">
        <f t="shared" si="10"/>
        <v>-- ,</v>
      </c>
    </row>
    <row r="417" spans="13:13">
      <c r="M417" s="24" t="str">
        <f t="shared" si="10"/>
        <v>-- ,</v>
      </c>
    </row>
    <row r="418" spans="13:13">
      <c r="M418" s="24" t="str">
        <f t="shared" si="10"/>
        <v>-- ,</v>
      </c>
    </row>
    <row r="419" spans="13:13">
      <c r="M419" s="24" t="str">
        <f t="shared" si="10"/>
        <v>-- ,</v>
      </c>
    </row>
    <row r="420" spans="13:13">
      <c r="M420" s="24" t="str">
        <f t="shared" si="10"/>
        <v>-- ,</v>
      </c>
    </row>
    <row r="421" spans="13:13">
      <c r="M421" s="24" t="str">
        <f t="shared" si="10"/>
        <v>-- ,</v>
      </c>
    </row>
    <row r="422" spans="13:13">
      <c r="M422" s="24" t="str">
        <f t="shared" si="10"/>
        <v>-- ,</v>
      </c>
    </row>
    <row r="423" spans="13:13">
      <c r="M423" s="24" t="str">
        <f t="shared" si="10"/>
        <v>-- ,</v>
      </c>
    </row>
    <row r="424" spans="13:13">
      <c r="M424" s="24" t="str">
        <f t="shared" si="10"/>
        <v>-- ,</v>
      </c>
    </row>
    <row r="425" spans="13:13">
      <c r="M425" s="24" t="str">
        <f t="shared" si="10"/>
        <v>-- ,</v>
      </c>
    </row>
    <row r="426" spans="13:13">
      <c r="M426" s="24" t="str">
        <f t="shared" si="10"/>
        <v>-- ,</v>
      </c>
    </row>
    <row r="427" spans="13:13">
      <c r="M427" s="24" t="str">
        <f t="shared" si="10"/>
        <v>-- ,</v>
      </c>
    </row>
    <row r="428" spans="13:13">
      <c r="M428" s="24" t="str">
        <f t="shared" si="10"/>
        <v>-- ,</v>
      </c>
    </row>
    <row r="429" spans="13:13">
      <c r="M429" s="24" t="str">
        <f t="shared" si="10"/>
        <v>-- ,</v>
      </c>
    </row>
    <row r="430" spans="13:13">
      <c r="M430" s="20" t="s">
        <v>654</v>
      </c>
    </row>
    <row r="431" spans="13:13">
      <c r="M431" s="24" t="str">
        <f>IF(TRIM($B315)="","-- "&amp;$A315&amp;",",IF(LEFT($B315,2)="--","-- "&amp;$A315&amp;",","")&amp;"EXEC sp_addextendedproperty 'MS_Description', '"&amp;TRIM($C315)&amp;IF($K315="","","("&amp;$K315&amp;")")&amp;"', "&amp;REPT(" ",60-LENB(TRIM($C315)&amp;IF($K315="","","("&amp;$K315&amp;")")))&amp;" 'schema', 'dbo', N'table', '"&amp;TRIM($C$3)&amp;"', 'column', '"&amp;TRIM($B315)&amp;"';"&amp;REPT(" ",20-LENB(TRIM($B315)))&amp;"-- 컬럼")</f>
        <v>-- ,</v>
      </c>
    </row>
    <row r="432" spans="13:13">
      <c r="M432" s="24" t="str">
        <f t="shared" ref="M432:M495" si="11">IF(TRIM($B316)="","-- "&amp;$A316&amp;",",IF(LEFT($B316,2)="--","-- "&amp;$A316&amp;",","")&amp;"EXEC sp_addextendedproperty 'MS_Description', '"&amp;TRIM($C316)&amp;IF($K316="","","("&amp;$K316&amp;")")&amp;"', "&amp;REPT(" ",60-LENB(TRIM($C316)&amp;IF($K316="","","("&amp;$K316&amp;")")))&amp;" 'schema', 'dbo', N'table', '"&amp;TRIM($C$3)&amp;"', 'column', '"&amp;TRIM($B316)&amp;"';"&amp;REPT(" ",20-LENB(TRIM($B316)))&amp;"-- 컬럼")</f>
        <v>-- ,</v>
      </c>
    </row>
    <row r="433" spans="13:13">
      <c r="M433" s="24" t="str">
        <f t="shared" si="11"/>
        <v>-- ,</v>
      </c>
    </row>
    <row r="434" spans="13:13">
      <c r="M434" s="24" t="str">
        <f t="shared" si="11"/>
        <v>-- ,</v>
      </c>
    </row>
    <row r="435" spans="13:13">
      <c r="M435" s="24" t="str">
        <f t="shared" si="11"/>
        <v>-- ,</v>
      </c>
    </row>
    <row r="436" spans="13:13">
      <c r="M436" s="24" t="str">
        <f t="shared" si="11"/>
        <v>-- ,</v>
      </c>
    </row>
    <row r="437" spans="13:13">
      <c r="M437" s="24" t="str">
        <f t="shared" si="11"/>
        <v>-- ,</v>
      </c>
    </row>
    <row r="438" spans="13:13">
      <c r="M438" s="24" t="str">
        <f t="shared" si="11"/>
        <v>-- ,</v>
      </c>
    </row>
    <row r="439" spans="13:13">
      <c r="M439" s="24" t="str">
        <f t="shared" si="11"/>
        <v>-- ,</v>
      </c>
    </row>
    <row r="440" spans="13:13">
      <c r="M440" s="24" t="str">
        <f t="shared" si="11"/>
        <v>-- ,</v>
      </c>
    </row>
    <row r="441" spans="13:13">
      <c r="M441" s="24" t="str">
        <f t="shared" si="11"/>
        <v>-- ,</v>
      </c>
    </row>
    <row r="442" spans="13:13">
      <c r="M442" s="24" t="str">
        <f t="shared" si="11"/>
        <v>-- ,</v>
      </c>
    </row>
    <row r="443" spans="13:13">
      <c r="M443" s="24" t="str">
        <f t="shared" si="11"/>
        <v>-- ,</v>
      </c>
    </row>
    <row r="444" spans="13:13">
      <c r="M444" s="24" t="str">
        <f t="shared" si="11"/>
        <v>-- ,</v>
      </c>
    </row>
    <row r="445" spans="13:13">
      <c r="M445" s="24" t="str">
        <f t="shared" si="11"/>
        <v>-- ,</v>
      </c>
    </row>
    <row r="446" spans="13:13">
      <c r="M446" s="24" t="str">
        <f t="shared" si="11"/>
        <v>-- ,</v>
      </c>
    </row>
    <row r="447" spans="13:13">
      <c r="M447" s="24" t="str">
        <f t="shared" si="11"/>
        <v>-- ,</v>
      </c>
    </row>
    <row r="448" spans="13:13">
      <c r="M448" s="24" t="str">
        <f t="shared" si="11"/>
        <v>-- ,</v>
      </c>
    </row>
    <row r="449" spans="13:13">
      <c r="M449" s="24" t="str">
        <f t="shared" si="11"/>
        <v>-- ,</v>
      </c>
    </row>
    <row r="450" spans="13:13">
      <c r="M450" s="24" t="str">
        <f t="shared" si="11"/>
        <v>-- ,</v>
      </c>
    </row>
    <row r="451" spans="13:13">
      <c r="M451" s="24" t="str">
        <f t="shared" si="11"/>
        <v>-- ,</v>
      </c>
    </row>
    <row r="452" spans="13:13">
      <c r="M452" s="24" t="str">
        <f t="shared" si="11"/>
        <v>-- ,</v>
      </c>
    </row>
    <row r="453" spans="13:13">
      <c r="M453" s="24" t="str">
        <f t="shared" si="11"/>
        <v>-- ,</v>
      </c>
    </row>
    <row r="454" spans="13:13">
      <c r="M454" s="24" t="str">
        <f t="shared" si="11"/>
        <v>-- ,</v>
      </c>
    </row>
    <row r="455" spans="13:13">
      <c r="M455" s="24" t="str">
        <f t="shared" si="11"/>
        <v>-- ,</v>
      </c>
    </row>
    <row r="456" spans="13:13">
      <c r="M456" s="24" t="str">
        <f t="shared" si="11"/>
        <v>-- ,</v>
      </c>
    </row>
    <row r="457" spans="13:13">
      <c r="M457" s="24" t="str">
        <f t="shared" si="11"/>
        <v>-- ,</v>
      </c>
    </row>
    <row r="458" spans="13:13">
      <c r="M458" s="24" t="str">
        <f t="shared" si="11"/>
        <v>-- ,</v>
      </c>
    </row>
    <row r="459" spans="13:13">
      <c r="M459" s="24" t="str">
        <f t="shared" si="11"/>
        <v>-- ,</v>
      </c>
    </row>
    <row r="460" spans="13:13">
      <c r="M460" s="24" t="str">
        <f t="shared" si="11"/>
        <v>-- ,</v>
      </c>
    </row>
    <row r="461" spans="13:13">
      <c r="M461" s="24" t="str">
        <f t="shared" si="11"/>
        <v>-- ,</v>
      </c>
    </row>
    <row r="462" spans="13:13">
      <c r="M462" s="24" t="str">
        <f t="shared" si="11"/>
        <v>-- ,</v>
      </c>
    </row>
    <row r="463" spans="13:13">
      <c r="M463" s="24" t="str">
        <f t="shared" si="11"/>
        <v>-- ,</v>
      </c>
    </row>
    <row r="464" spans="13:13">
      <c r="M464" s="24" t="str">
        <f t="shared" si="11"/>
        <v>-- ,</v>
      </c>
    </row>
    <row r="465" spans="13:13">
      <c r="M465" s="24" t="str">
        <f t="shared" si="11"/>
        <v>-- ,</v>
      </c>
    </row>
    <row r="466" spans="13:13">
      <c r="M466" s="24" t="str">
        <f t="shared" si="11"/>
        <v>-- ,</v>
      </c>
    </row>
    <row r="467" spans="13:13">
      <c r="M467" s="24" t="str">
        <f t="shared" si="11"/>
        <v>-- ,</v>
      </c>
    </row>
    <row r="468" spans="13:13">
      <c r="M468" s="24" t="str">
        <f t="shared" si="11"/>
        <v>-- ,</v>
      </c>
    </row>
    <row r="469" spans="13:13">
      <c r="M469" s="24" t="str">
        <f t="shared" si="11"/>
        <v>-- ,</v>
      </c>
    </row>
    <row r="470" spans="13:13">
      <c r="M470" s="24" t="str">
        <f t="shared" si="11"/>
        <v>-- ,</v>
      </c>
    </row>
    <row r="471" spans="13:13">
      <c r="M471" s="24" t="str">
        <f t="shared" si="11"/>
        <v>-- ,</v>
      </c>
    </row>
    <row r="472" spans="13:13">
      <c r="M472" s="24" t="str">
        <f t="shared" si="11"/>
        <v>-- ,</v>
      </c>
    </row>
    <row r="473" spans="13:13">
      <c r="M473" s="24" t="str">
        <f t="shared" si="11"/>
        <v>-- ,</v>
      </c>
    </row>
    <row r="474" spans="13:13">
      <c r="M474" s="24" t="str">
        <f t="shared" si="11"/>
        <v>-- ,</v>
      </c>
    </row>
    <row r="475" spans="13:13">
      <c r="M475" s="24" t="str">
        <f t="shared" si="11"/>
        <v>-- ,</v>
      </c>
    </row>
    <row r="476" spans="13:13">
      <c r="M476" s="24" t="str">
        <f t="shared" si="11"/>
        <v>-- ,</v>
      </c>
    </row>
    <row r="477" spans="13:13">
      <c r="M477" s="24" t="str">
        <f t="shared" si="11"/>
        <v>-- ,</v>
      </c>
    </row>
    <row r="478" spans="13:13">
      <c r="M478" s="24" t="str">
        <f t="shared" si="11"/>
        <v>-- ,</v>
      </c>
    </row>
    <row r="479" spans="13:13">
      <c r="M479" s="24" t="str">
        <f t="shared" si="11"/>
        <v>-- ,</v>
      </c>
    </row>
    <row r="480" spans="13:13">
      <c r="M480" s="24" t="str">
        <f t="shared" si="11"/>
        <v>-- ,</v>
      </c>
    </row>
    <row r="481" spans="13:13">
      <c r="M481" s="24" t="str">
        <f t="shared" si="11"/>
        <v>-- ,</v>
      </c>
    </row>
    <row r="482" spans="13:13">
      <c r="M482" s="24" t="str">
        <f t="shared" si="11"/>
        <v>-- ,</v>
      </c>
    </row>
    <row r="483" spans="13:13">
      <c r="M483" s="24" t="str">
        <f t="shared" si="11"/>
        <v>-- ,</v>
      </c>
    </row>
    <row r="484" spans="13:13">
      <c r="M484" s="24" t="str">
        <f t="shared" si="11"/>
        <v>-- ,</v>
      </c>
    </row>
    <row r="485" spans="13:13">
      <c r="M485" s="24" t="str">
        <f t="shared" si="11"/>
        <v>-- ,</v>
      </c>
    </row>
    <row r="486" spans="13:13">
      <c r="M486" s="24" t="str">
        <f t="shared" si="11"/>
        <v>-- ,</v>
      </c>
    </row>
    <row r="487" spans="13:13">
      <c r="M487" s="24" t="str">
        <f t="shared" si="11"/>
        <v>-- ,</v>
      </c>
    </row>
    <row r="488" spans="13:13">
      <c r="M488" s="24" t="str">
        <f t="shared" si="11"/>
        <v>-- ,</v>
      </c>
    </row>
    <row r="489" spans="13:13">
      <c r="M489" s="24" t="str">
        <f t="shared" si="11"/>
        <v>-- ,</v>
      </c>
    </row>
    <row r="490" spans="13:13">
      <c r="M490" s="24" t="str">
        <f t="shared" si="11"/>
        <v>-- ,</v>
      </c>
    </row>
    <row r="491" spans="13:13">
      <c r="M491" s="24" t="str">
        <f t="shared" si="11"/>
        <v>-- ,</v>
      </c>
    </row>
    <row r="492" spans="13:13">
      <c r="M492" s="24" t="str">
        <f t="shared" si="11"/>
        <v>-- ,</v>
      </c>
    </row>
    <row r="493" spans="13:13">
      <c r="M493" s="24" t="str">
        <f t="shared" si="11"/>
        <v>-- ,</v>
      </c>
    </row>
    <row r="494" spans="13:13">
      <c r="M494" s="24" t="str">
        <f t="shared" si="11"/>
        <v>-- ,</v>
      </c>
    </row>
    <row r="495" spans="13:13">
      <c r="M495" s="24" t="str">
        <f t="shared" si="11"/>
        <v>-- ,</v>
      </c>
    </row>
    <row r="496" spans="13:13">
      <c r="M496" s="24" t="str">
        <f t="shared" ref="M496:M530" si="12">IF(TRIM($B380)="","-- "&amp;$A380&amp;",",IF(LEFT($B380,2)="--","-- "&amp;$A380&amp;",","")&amp;"EXEC sp_addextendedproperty 'MS_Description', '"&amp;TRIM($C380)&amp;IF($K380="","","("&amp;$K380&amp;")")&amp;"', "&amp;REPT(" ",60-LENB(TRIM($C380)&amp;IF($K380="","","("&amp;$K380&amp;")")))&amp;" 'schema', 'dbo', N'table', '"&amp;TRIM($C$3)&amp;"', 'column', '"&amp;TRIM($B380)&amp;"';"&amp;REPT(" ",20-LENB(TRIM($B380)))&amp;"-- 컬럼")</f>
        <v>-- ,</v>
      </c>
    </row>
    <row r="497" spans="13:13">
      <c r="M497" s="24" t="str">
        <f t="shared" si="12"/>
        <v>-- ,</v>
      </c>
    </row>
    <row r="498" spans="13:13">
      <c r="M498" s="24" t="str">
        <f t="shared" si="12"/>
        <v>-- ,</v>
      </c>
    </row>
    <row r="499" spans="13:13">
      <c r="M499" s="24" t="str">
        <f t="shared" si="12"/>
        <v>-- ,</v>
      </c>
    </row>
    <row r="500" spans="13:13">
      <c r="M500" s="24" t="str">
        <f t="shared" si="12"/>
        <v>-- ,</v>
      </c>
    </row>
    <row r="501" spans="13:13">
      <c r="M501" s="24" t="str">
        <f t="shared" si="12"/>
        <v>-- ,</v>
      </c>
    </row>
    <row r="502" spans="13:13">
      <c r="M502" s="24" t="str">
        <f t="shared" si="12"/>
        <v>-- ,</v>
      </c>
    </row>
    <row r="503" spans="13:13">
      <c r="M503" s="24" t="str">
        <f t="shared" si="12"/>
        <v>-- ,</v>
      </c>
    </row>
    <row r="504" spans="13:13">
      <c r="M504" s="24" t="str">
        <f t="shared" si="12"/>
        <v>-- ,</v>
      </c>
    </row>
    <row r="505" spans="13:13">
      <c r="M505" s="24" t="str">
        <f t="shared" si="12"/>
        <v>-- ,</v>
      </c>
    </row>
    <row r="506" spans="13:13">
      <c r="M506" s="24" t="str">
        <f t="shared" si="12"/>
        <v>-- ,</v>
      </c>
    </row>
    <row r="507" spans="13:13">
      <c r="M507" s="24" t="str">
        <f t="shared" si="12"/>
        <v>-- ,</v>
      </c>
    </row>
    <row r="508" spans="13:13">
      <c r="M508" s="24" t="str">
        <f t="shared" si="12"/>
        <v>-- ,</v>
      </c>
    </row>
    <row r="509" spans="13:13">
      <c r="M509" s="24" t="str">
        <f t="shared" si="12"/>
        <v>-- ,</v>
      </c>
    </row>
    <row r="510" spans="13:13">
      <c r="M510" s="24" t="str">
        <f t="shared" si="12"/>
        <v>-- ,</v>
      </c>
    </row>
    <row r="511" spans="13:13">
      <c r="M511" s="24" t="str">
        <f t="shared" si="12"/>
        <v>-- ,</v>
      </c>
    </row>
    <row r="512" spans="13:13">
      <c r="M512" s="24" t="str">
        <f t="shared" si="12"/>
        <v>-- ,</v>
      </c>
    </row>
    <row r="513" spans="13:13">
      <c r="M513" s="24" t="str">
        <f t="shared" si="12"/>
        <v>-- ,</v>
      </c>
    </row>
    <row r="514" spans="13:13">
      <c r="M514" s="24" t="str">
        <f t="shared" si="12"/>
        <v>-- ,</v>
      </c>
    </row>
    <row r="515" spans="13:13">
      <c r="M515" s="24" t="str">
        <f t="shared" si="12"/>
        <v>-- ,</v>
      </c>
    </row>
    <row r="516" spans="13:13">
      <c r="M516" s="24" t="str">
        <f t="shared" si="12"/>
        <v>-- ,</v>
      </c>
    </row>
    <row r="517" spans="13:13">
      <c r="M517" s="24" t="str">
        <f t="shared" si="12"/>
        <v>-- ,</v>
      </c>
    </row>
    <row r="518" spans="13:13">
      <c r="M518" s="24" t="str">
        <f t="shared" si="12"/>
        <v>-- ,</v>
      </c>
    </row>
    <row r="519" spans="13:13">
      <c r="M519" s="24" t="str">
        <f t="shared" si="12"/>
        <v>-- ,</v>
      </c>
    </row>
    <row r="520" spans="13:13">
      <c r="M520" s="24" t="str">
        <f t="shared" si="12"/>
        <v>-- ,</v>
      </c>
    </row>
    <row r="521" spans="13:13">
      <c r="M521" s="24" t="str">
        <f t="shared" si="12"/>
        <v>-- ,</v>
      </c>
    </row>
    <row r="522" spans="13:13">
      <c r="M522" s="24" t="str">
        <f t="shared" si="12"/>
        <v>-- ,</v>
      </c>
    </row>
    <row r="523" spans="13:13">
      <c r="M523" s="24" t="str">
        <f t="shared" si="12"/>
        <v>-- ,</v>
      </c>
    </row>
    <row r="524" spans="13:13">
      <c r="M524" s="24" t="str">
        <f t="shared" si="12"/>
        <v>-- ,</v>
      </c>
    </row>
    <row r="525" spans="13:13">
      <c r="M525" s="24" t="str">
        <f t="shared" si="12"/>
        <v>-- ,</v>
      </c>
    </row>
    <row r="526" spans="13:13">
      <c r="M526" s="24" t="str">
        <f t="shared" si="12"/>
        <v>-- ,</v>
      </c>
    </row>
    <row r="527" spans="13:13">
      <c r="M527" s="24" t="str">
        <f t="shared" si="12"/>
        <v>-- ,</v>
      </c>
    </row>
    <row r="528" spans="13:13">
      <c r="M528" s="24" t="str">
        <f t="shared" si="12"/>
        <v>-- ,</v>
      </c>
    </row>
    <row r="529" spans="13:13">
      <c r="M529" s="24" t="str">
        <f t="shared" si="12"/>
        <v>-- ,</v>
      </c>
    </row>
    <row r="530" spans="13:13">
      <c r="M530" s="24" t="str">
        <f t="shared" si="12"/>
        <v>-- ,</v>
      </c>
    </row>
    <row r="531" spans="13:13">
      <c r="M531" s="20" t="s">
        <v>655</v>
      </c>
    </row>
    <row r="533" spans="13:13">
      <c r="M533" s="20" t="s">
        <v>656</v>
      </c>
    </row>
  </sheetData>
  <mergeCells count="12">
    <mergeCell ref="A1:K1"/>
    <mergeCell ref="A2:B2"/>
    <mergeCell ref="C2:F2"/>
    <mergeCell ref="H2:I2"/>
    <mergeCell ref="A3:B3"/>
    <mergeCell ref="D3:F3"/>
    <mergeCell ref="H3:I3"/>
    <mergeCell ref="A4:B4"/>
    <mergeCell ref="C4:K4"/>
    <mergeCell ref="A5:B5"/>
    <mergeCell ref="D5:E5"/>
    <mergeCell ref="F5:G5"/>
  </mergeCells>
  <phoneticPr fontId="6" type="noConversion"/>
  <pageMargins left="0.39370078740157483" right="0.39370078740157483" top="0.78740157480314965" bottom="0.39370078740157483" header="0" footer="0"/>
  <pageSetup paperSize="9" scale="93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FFFF00"/>
  </sheetPr>
  <dimension ref="A1:V533"/>
  <sheetViews>
    <sheetView showZeros="0" view="pageBreakPreview" zoomScaleNormal="100" zoomScaleSheetLayoutView="100" workbookViewId="0">
      <pane xSplit="1" ySplit="6" topLeftCell="B7" activePane="bottomRight" state="frozen"/>
      <selection activeCell="C25" sqref="C25"/>
      <selection pane="topRight" activeCell="C25" sqref="C25"/>
      <selection pane="bottomLeft" activeCell="C25" sqref="C25"/>
      <selection pane="bottomRight" activeCell="B7" sqref="B7:K27"/>
    </sheetView>
  </sheetViews>
  <sheetFormatPr defaultColWidth="9.375" defaultRowHeight="10.8"/>
  <cols>
    <col min="1" max="1" width="4" style="20" bestFit="1" customWidth="1"/>
    <col min="2" max="2" width="13.375" style="20" customWidth="1"/>
    <col min="3" max="3" width="16.5" style="20" customWidth="1"/>
    <col min="4" max="4" width="13.375" style="28" bestFit="1" customWidth="1"/>
    <col min="5" max="5" width="6" style="28" bestFit="1" customWidth="1"/>
    <col min="6" max="7" width="8" style="20" bestFit="1" customWidth="1"/>
    <col min="8" max="8" width="10" style="20" bestFit="1" customWidth="1"/>
    <col min="9" max="10" width="9" style="20" bestFit="1" customWidth="1"/>
    <col min="11" max="11" width="29" style="20" customWidth="1"/>
    <col min="12" max="12" width="11" style="20" bestFit="1" customWidth="1"/>
    <col min="13" max="13" width="31.375" style="20" customWidth="1"/>
    <col min="14" max="16384" width="9.375" style="20"/>
  </cols>
  <sheetData>
    <row r="1" spans="1:22" ht="26.25" customHeight="1">
      <c r="A1" s="142" t="s">
        <v>24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2" spans="1:22">
      <c r="A2" s="135" t="s">
        <v>7</v>
      </c>
      <c r="B2" s="136"/>
      <c r="C2" s="143" t="str">
        <f>시스템정보!B2</f>
        <v>일대일거래APP</v>
      </c>
      <c r="D2" s="144"/>
      <c r="E2" s="144"/>
      <c r="F2" s="145"/>
      <c r="G2" s="96" t="s">
        <v>9</v>
      </c>
      <c r="H2" s="146" t="s">
        <v>247</v>
      </c>
      <c r="I2" s="147"/>
      <c r="J2" s="96" t="s">
        <v>11</v>
      </c>
      <c r="K2" s="59" t="s">
        <v>662</v>
      </c>
    </row>
    <row r="3" spans="1:22" ht="13.2">
      <c r="A3" s="135" t="s">
        <v>8</v>
      </c>
      <c r="B3" s="136"/>
      <c r="C3" s="32" t="s">
        <v>688</v>
      </c>
      <c r="D3" s="146" t="s">
        <v>687</v>
      </c>
      <c r="E3" s="148"/>
      <c r="F3" s="147"/>
      <c r="G3" s="96" t="s">
        <v>10</v>
      </c>
      <c r="H3" s="146" t="s">
        <v>247</v>
      </c>
      <c r="I3" s="147"/>
      <c r="J3" s="96" t="s">
        <v>18</v>
      </c>
      <c r="K3" s="59" t="s">
        <v>662</v>
      </c>
      <c r="M3" s="22"/>
    </row>
    <row r="4" spans="1:22" ht="13.2">
      <c r="A4" s="135" t="s">
        <v>6</v>
      </c>
      <c r="B4" s="136"/>
      <c r="C4" s="137" t="s">
        <v>719</v>
      </c>
      <c r="D4" s="137"/>
      <c r="E4" s="137"/>
      <c r="F4" s="137"/>
      <c r="G4" s="137"/>
      <c r="H4" s="137"/>
      <c r="I4" s="137"/>
      <c r="J4" s="137"/>
      <c r="K4" s="137"/>
      <c r="M4" s="22" t="str">
        <f>"DROP TABLE "&amp; $C$3 &amp;";"</f>
        <v>DROP TABLE SalesArea;</v>
      </c>
    </row>
    <row r="5" spans="1:22" ht="13.2">
      <c r="A5" s="138" t="s">
        <v>136</v>
      </c>
      <c r="B5" s="139"/>
      <c r="C5" s="97" t="s">
        <v>248</v>
      </c>
      <c r="D5" s="138" t="s">
        <v>135</v>
      </c>
      <c r="E5" s="140"/>
      <c r="F5" s="141" t="s">
        <v>664</v>
      </c>
      <c r="G5" s="140"/>
      <c r="H5" s="96" t="s">
        <v>273</v>
      </c>
      <c r="I5" s="97" t="s">
        <v>138</v>
      </c>
      <c r="J5" s="97"/>
      <c r="K5" s="97"/>
      <c r="M5" s="22"/>
    </row>
    <row r="6" spans="1:22">
      <c r="A6" s="96" t="s">
        <v>1</v>
      </c>
      <c r="B6" s="96" t="s">
        <v>12</v>
      </c>
      <c r="C6" s="96" t="s">
        <v>13</v>
      </c>
      <c r="D6" s="96" t="s">
        <v>14</v>
      </c>
      <c r="E6" s="96" t="s">
        <v>15</v>
      </c>
      <c r="F6" s="96" t="s">
        <v>16</v>
      </c>
      <c r="G6" s="96" t="s">
        <v>26</v>
      </c>
      <c r="H6" s="96" t="s">
        <v>25</v>
      </c>
      <c r="I6" s="96" t="s">
        <v>17</v>
      </c>
      <c r="J6" s="96" t="s">
        <v>274</v>
      </c>
      <c r="K6" s="96" t="s">
        <v>6</v>
      </c>
      <c r="M6" s="23" t="str">
        <f>"CREATE TABLE " &amp; $C$3 &amp; " ("</f>
        <v>CREATE TABLE SalesArea (</v>
      </c>
      <c r="V6" s="23" t="str">
        <f>LEFT(UPPER($C$3)&amp;REPT(" ",30),30)
&amp;LEFT(SUBSTITUTE(LOWER(MID(SUBSTITUTE(PROPER($C$3),"_",""),1,1))&amp;MID(SUBSTITUTE(PROPER($C$3),"_",""),2,LEN(SUBSTITUTE(PROPER($C$3),"_",""))),"tb","")&amp;REPT(" ",30),30)
&amp;LEFT($D$3&amp;REPT(" ",30),30)</f>
        <v xml:space="preserve">SALESAREA                     salesarea                     판매지역                          </v>
      </c>
    </row>
    <row r="7" spans="1:22">
      <c r="A7" s="59">
        <v>1</v>
      </c>
      <c r="B7" s="2" t="s">
        <v>695</v>
      </c>
      <c r="C7" s="2" t="s">
        <v>665</v>
      </c>
      <c r="D7" s="17" t="s">
        <v>275</v>
      </c>
      <c r="E7" s="39">
        <v>256</v>
      </c>
      <c r="F7" s="40"/>
      <c r="G7" s="38"/>
      <c r="H7" s="42"/>
      <c r="I7" s="41"/>
      <c r="J7" s="38"/>
      <c r="K7" s="43"/>
      <c r="M7" s="23" t="str">
        <f>REPT(" ",13)&amp;IF(ISBLANK($B7),"--"&amp;$A7,
LEFT(SUBSTITUTE($B7," ","*")&amp;REPT("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       storeNumber                   VARCHAR(256)                                                ,</v>
      </c>
      <c r="V7" s="23" t="str">
        <f>REPT(" ",6)&amp;
IF(ISBLANK($B7),"--"&amp;UPPER($A7),LEFT(SUBSTITUTE(UPPER($B7)," ","*")&amp;REPT(" ",30),30)&amp;
LEFT("AS " &amp; LOWER(MID(SUBSTITUTE(PROPER($B7),"_",""),1,1))&amp;MID(SUBSTITUTE(PROPER($B7),"_",""),2,LEN(SUBSTITUTE(PROPER($B7),"_","")))&amp;REPT(" ",30),30)&amp;
LEFT(IF(ISBLANK($C7),"/**/","/* "&amp;$C7)&amp;" */"&amp;REPT(" ",30),30))</f>
        <v xml:space="preserve">      STORENUMBER                   AS storenumber                /* 상점번호 */                    </v>
      </c>
    </row>
    <row r="8" spans="1:22">
      <c r="A8" s="59">
        <v>2</v>
      </c>
      <c r="B8" s="2" t="s">
        <v>696</v>
      </c>
      <c r="C8" s="2" t="s">
        <v>666</v>
      </c>
      <c r="D8" s="17" t="s">
        <v>275</v>
      </c>
      <c r="E8" s="33">
        <v>256</v>
      </c>
      <c r="F8" s="39"/>
      <c r="G8" s="44"/>
      <c r="H8" s="38"/>
      <c r="I8" s="41"/>
      <c r="J8" s="38"/>
      <c r="K8" s="43" t="s">
        <v>683</v>
      </c>
      <c r="M8" s="23" t="str">
        <f t="shared" ref="M8:M71" si="0">REPT(" ",13)&amp;IF(ISBLANK($B8),"--"&amp;$A8,
LEFT(SUBSTITUTE($B8," ","*")&amp;REPT(" ",30),30)&amp;
LEFT(IF(ISBLANK($D8),"",IF(OR(UPPER($D8)="DATE",UPPER($D8)="CLOB",UPPER($D8)="BLOB",UPPER($D8)="LONG",UPPER($D8)="TIMESTAMP"),UPPER($D8),IF(ISBLANK($E8),UPPER($D8),UPPER($D8)&amp;"("&amp;$E8&amp;")")))&amp;REPT(" ",15),15)&amp;
LEFT(IF(ISBLANK($F8),"","DEFAULT  "&amp;$F8)&amp;REPT(" ",19),19)&amp;
LEFT(IF(ISBLANK($J8),""," identity(" &amp; $J8 &amp; ") ")&amp;REPT(" ",17),17)&amp;
LEFT(IF(ISBLANK($H8),""," NOT NULL")&amp;REPT(" ",9),9)&amp;
IF(AND(ISBLANK(G$7),ISBLANK($B9)),"",","))</f>
        <v xml:space="preserve">             storeName                     VARCHAR(256)                                                ,</v>
      </c>
      <c r="V8" s="23" t="str">
        <f t="shared" ref="V8:V71" si="1">REPT(" ",6)&amp;
IF(ISBLANK($B8),"--"&amp;UPPER($A8),LEFT(SUBSTITUTE(UPPER($B8)," ","*")&amp;REPT(" ",30),30)&amp;
LEFT("AS " &amp; LOWER(MID(SUBSTITUTE(PROPER($B8),"_",""),1,1))&amp;MID(SUBSTITUTE(PROPER($B8),"_",""),2,LEN(SUBSTITUTE(PROPER($B8),"_","")))&amp;REPT(" ",30),30)&amp;
LEFT(IF(ISBLANK($C8),"/**/","/* "&amp;$C8)&amp;" */"&amp;REPT(" ",30),30))</f>
        <v xml:space="preserve">      STORENAME                     AS storename                  /* 상점명 */                     </v>
      </c>
    </row>
    <row r="9" spans="1:22">
      <c r="A9" s="59">
        <v>3</v>
      </c>
      <c r="B9" s="2" t="s">
        <v>697</v>
      </c>
      <c r="C9" s="2" t="s">
        <v>667</v>
      </c>
      <c r="D9" s="17" t="s">
        <v>275</v>
      </c>
      <c r="E9" s="33">
        <v>256</v>
      </c>
      <c r="F9" s="39"/>
      <c r="G9" s="44"/>
      <c r="H9" s="38"/>
      <c r="I9" s="41"/>
      <c r="J9" s="41"/>
      <c r="K9" s="43" t="s">
        <v>683</v>
      </c>
      <c r="M9" s="23" t="str">
        <f t="shared" si="0"/>
        <v xml:space="preserve">             sellerName                    VARCHAR(256)                                                ,</v>
      </c>
      <c r="V9" s="23" t="str">
        <f t="shared" si="1"/>
        <v xml:space="preserve">      SELLERNAME                    AS sellername                 /* 판매자명 */                    </v>
      </c>
    </row>
    <row r="10" spans="1:22">
      <c r="A10" s="59">
        <v>4</v>
      </c>
      <c r="B10" s="92" t="s">
        <v>678</v>
      </c>
      <c r="C10" s="92" t="s">
        <v>668</v>
      </c>
      <c r="D10" s="17" t="s">
        <v>275</v>
      </c>
      <c r="E10" s="33">
        <v>256</v>
      </c>
      <c r="F10" s="33"/>
      <c r="G10" s="33"/>
      <c r="H10" s="33"/>
      <c r="I10" s="35"/>
      <c r="J10" s="35"/>
      <c r="K10" s="43" t="s">
        <v>683</v>
      </c>
      <c r="M10" s="23" t="str">
        <f t="shared" si="0"/>
        <v xml:space="preserve">             nickName                      VARCHAR(256)                                                ,</v>
      </c>
      <c r="V10" s="23" t="str">
        <f t="shared" si="1"/>
        <v xml:space="preserve">      NICKNAME                      AS nickname                   /* 별명 */                      </v>
      </c>
    </row>
    <row r="11" spans="1:22">
      <c r="A11" s="59">
        <v>5</v>
      </c>
      <c r="B11" s="91" t="s">
        <v>698</v>
      </c>
      <c r="C11" s="91" t="s">
        <v>276</v>
      </c>
      <c r="D11" s="17" t="s">
        <v>275</v>
      </c>
      <c r="E11" s="33">
        <v>256</v>
      </c>
      <c r="F11" s="35"/>
      <c r="G11" s="33"/>
      <c r="H11" s="33"/>
      <c r="I11" s="35"/>
      <c r="J11" s="35"/>
      <c r="K11" s="43" t="s">
        <v>683</v>
      </c>
      <c r="M11" s="23" t="str">
        <f t="shared" si="0"/>
        <v xml:space="preserve">             phoneNumber                   VARCHAR(256)                                                ,</v>
      </c>
      <c r="V11" s="23" t="str">
        <f t="shared" si="1"/>
        <v xml:space="preserve">      PHONENUMBER                   AS phonenumber                /* 전화번호 */                    </v>
      </c>
    </row>
    <row r="12" spans="1:22">
      <c r="A12" s="59">
        <v>6</v>
      </c>
      <c r="B12" s="91" t="s">
        <v>699</v>
      </c>
      <c r="C12" s="91" t="s">
        <v>669</v>
      </c>
      <c r="D12" s="17" t="s">
        <v>275</v>
      </c>
      <c r="E12" s="33">
        <v>256</v>
      </c>
      <c r="F12" s="33"/>
      <c r="G12" s="33"/>
      <c r="H12" s="33"/>
      <c r="I12" s="35"/>
      <c r="J12" s="35"/>
      <c r="K12" s="43" t="s">
        <v>683</v>
      </c>
      <c r="M12" s="23" t="str">
        <f t="shared" si="0"/>
        <v xml:space="preserve">             emailAddress                  VARCHAR(256)                                                ,</v>
      </c>
      <c r="V12" s="23" t="str">
        <f t="shared" si="1"/>
        <v xml:space="preserve">      EMAILADDRESS                  AS emailaddress               /* 이메일주소 */                   </v>
      </c>
    </row>
    <row r="13" spans="1:22">
      <c r="A13" s="59">
        <v>7</v>
      </c>
      <c r="B13" s="91" t="s">
        <v>690</v>
      </c>
      <c r="C13" s="91" t="s">
        <v>701</v>
      </c>
      <c r="D13" s="17" t="s">
        <v>275</v>
      </c>
      <c r="E13" s="33">
        <v>256</v>
      </c>
      <c r="F13" s="35"/>
      <c r="G13" s="33"/>
      <c r="H13" s="33"/>
      <c r="I13" s="35"/>
      <c r="J13" s="35"/>
      <c r="K13" s="43" t="s">
        <v>683</v>
      </c>
      <c r="M13" s="23" t="str">
        <f t="shared" si="0"/>
        <v xml:space="preserve">             zipCode                       VARCHAR(256)                                                ,</v>
      </c>
      <c r="V13" s="23" t="str">
        <f t="shared" si="1"/>
        <v xml:space="preserve">      ZIPCODE                       AS zipcode                    /* 우편번호(지번) */                </v>
      </c>
    </row>
    <row r="14" spans="1:22" ht="21.6">
      <c r="A14" s="59">
        <v>8</v>
      </c>
      <c r="B14" s="91" t="s">
        <v>700</v>
      </c>
      <c r="C14" s="91" t="s">
        <v>702</v>
      </c>
      <c r="D14" s="17" t="s">
        <v>275</v>
      </c>
      <c r="E14" s="33">
        <v>256</v>
      </c>
      <c r="F14" s="33"/>
      <c r="G14" s="33"/>
      <c r="H14" s="33"/>
      <c r="I14" s="35"/>
      <c r="J14" s="35"/>
      <c r="K14" s="43" t="s">
        <v>683</v>
      </c>
      <c r="M14" s="23" t="str">
        <f t="shared" si="0"/>
        <v xml:space="preserve">             postalCode                    VARCHAR(256)                                                ,</v>
      </c>
      <c r="V14" s="23" t="str">
        <f t="shared" si="1"/>
        <v xml:space="preserve">      POSTALCODE                    AS postalcode                 /* 우편번호(도로명) */               </v>
      </c>
    </row>
    <row r="15" spans="1:22">
      <c r="A15" s="59">
        <v>9</v>
      </c>
      <c r="B15" s="91" t="s">
        <v>691</v>
      </c>
      <c r="C15" s="91" t="s">
        <v>689</v>
      </c>
      <c r="D15" s="17" t="s">
        <v>275</v>
      </c>
      <c r="E15" s="33">
        <v>256</v>
      </c>
      <c r="F15" s="33"/>
      <c r="G15" s="33"/>
      <c r="H15" s="33"/>
      <c r="I15" s="35"/>
      <c r="J15" s="35"/>
      <c r="K15" s="43" t="s">
        <v>683</v>
      </c>
      <c r="M15" s="23" t="str">
        <f t="shared" si="0"/>
        <v xml:space="preserve">             baseAddress                   VARCHAR(256)                                                ,</v>
      </c>
      <c r="V15" s="23" t="str">
        <f t="shared" si="1"/>
        <v xml:space="preserve">      BASEADDRESS                   AS baseaddress                /* 기본주소 */                    </v>
      </c>
    </row>
    <row r="16" spans="1:22" ht="21.6">
      <c r="A16" s="59">
        <v>10</v>
      </c>
      <c r="B16" s="91" t="s">
        <v>692</v>
      </c>
      <c r="C16" s="91" t="s">
        <v>694</v>
      </c>
      <c r="D16" s="17" t="s">
        <v>275</v>
      </c>
      <c r="E16" s="33">
        <v>256</v>
      </c>
      <c r="F16" s="35"/>
      <c r="G16" s="33"/>
      <c r="H16" s="33"/>
      <c r="I16" s="35"/>
      <c r="J16" s="35"/>
      <c r="K16" s="43" t="s">
        <v>693</v>
      </c>
      <c r="M16" s="23" t="str">
        <f t="shared" si="0"/>
        <v xml:space="preserve">             availableArea                 VARCHAR(256)                                                ,</v>
      </c>
      <c r="V16" s="23" t="str">
        <f t="shared" si="1"/>
        <v xml:space="preserve">      AVAILABLEAREA                 AS availablearea              /* 판매가능지역 */                  </v>
      </c>
    </row>
    <row r="17" spans="1:22">
      <c r="A17" s="59">
        <v>11</v>
      </c>
      <c r="B17" s="92" t="s">
        <v>709</v>
      </c>
      <c r="C17" s="92" t="s">
        <v>707</v>
      </c>
      <c r="D17" s="17" t="s">
        <v>275</v>
      </c>
      <c r="E17" s="33">
        <v>256</v>
      </c>
      <c r="F17" s="33"/>
      <c r="G17" s="33"/>
      <c r="H17" s="33"/>
      <c r="I17" s="35"/>
      <c r="J17" s="35"/>
      <c r="K17" s="43" t="s">
        <v>711</v>
      </c>
      <c r="M17" s="23" t="str">
        <f t="shared" si="0"/>
        <v xml:space="preserve">             useAt                         VARCHAR(256)                                                ,</v>
      </c>
      <c r="V17" s="23" t="str">
        <f t="shared" si="1"/>
        <v xml:space="preserve">      USEAT                         AS useat                      /* 사용여부 */                    </v>
      </c>
    </row>
    <row r="18" spans="1:22">
      <c r="A18" s="59">
        <v>12</v>
      </c>
      <c r="B18" s="91" t="s">
        <v>710</v>
      </c>
      <c r="C18" s="91" t="s">
        <v>708</v>
      </c>
      <c r="D18" s="17" t="s">
        <v>275</v>
      </c>
      <c r="E18" s="33">
        <v>256</v>
      </c>
      <c r="F18" s="35"/>
      <c r="G18" s="33"/>
      <c r="H18" s="33"/>
      <c r="I18" s="35"/>
      <c r="J18" s="35"/>
      <c r="K18" s="43" t="s">
        <v>711</v>
      </c>
      <c r="M18" s="23" t="str">
        <f t="shared" si="0"/>
        <v xml:space="preserve">             delAt                         VARCHAR(256)                                                ,</v>
      </c>
      <c r="V18" s="23" t="str">
        <f t="shared" si="1"/>
        <v xml:space="preserve">      DELAT                         AS delat                      /* 삭제여부 */                    </v>
      </c>
    </row>
    <row r="19" spans="1:22">
      <c r="A19" s="59">
        <v>13</v>
      </c>
      <c r="B19" s="92" t="s">
        <v>671</v>
      </c>
      <c r="C19" s="92" t="s">
        <v>635</v>
      </c>
      <c r="D19" s="17" t="s">
        <v>275</v>
      </c>
      <c r="E19" s="33">
        <v>256</v>
      </c>
      <c r="F19" s="33"/>
      <c r="G19" s="33"/>
      <c r="H19" s="33"/>
      <c r="I19" s="35"/>
      <c r="J19" s="35"/>
      <c r="K19" s="43"/>
      <c r="M19" s="23" t="str">
        <f t="shared" si="0"/>
        <v xml:space="preserve">             createId                      VARCHAR(256)                                                ,</v>
      </c>
      <c r="V19" s="23" t="str">
        <f t="shared" si="1"/>
        <v xml:space="preserve">      CREATEID                      AS createid                   /* 생성자 */                     </v>
      </c>
    </row>
    <row r="20" spans="1:22">
      <c r="A20" s="59">
        <v>14</v>
      </c>
      <c r="B20" s="91" t="s">
        <v>674</v>
      </c>
      <c r="C20" s="91" t="s">
        <v>636</v>
      </c>
      <c r="D20" s="17" t="s">
        <v>275</v>
      </c>
      <c r="E20" s="33">
        <v>256</v>
      </c>
      <c r="F20" s="35"/>
      <c r="G20" s="33"/>
      <c r="H20" s="33"/>
      <c r="I20" s="35"/>
      <c r="J20" s="35"/>
      <c r="K20" s="43"/>
      <c r="M20" s="23" t="str">
        <f t="shared" si="0"/>
        <v xml:space="preserve">             createDate                    VARCHAR(256)                                                ,</v>
      </c>
      <c r="V20" s="23" t="str">
        <f t="shared" si="1"/>
        <v xml:space="preserve">      CREATEDATE                    AS createdate                 /* 생성 일시 */                   </v>
      </c>
    </row>
    <row r="21" spans="1:22">
      <c r="A21" s="59">
        <v>15</v>
      </c>
      <c r="B21" s="91" t="s">
        <v>672</v>
      </c>
      <c r="C21" s="91" t="s">
        <v>682</v>
      </c>
      <c r="D21" s="33" t="s">
        <v>275</v>
      </c>
      <c r="E21" s="33">
        <v>256</v>
      </c>
      <c r="F21" s="33"/>
      <c r="G21" s="33"/>
      <c r="H21" s="33"/>
      <c r="I21" s="35"/>
      <c r="J21" s="35"/>
      <c r="K21" s="90"/>
      <c r="M21" s="23" t="str">
        <f t="shared" si="0"/>
        <v xml:space="preserve">             updateId                      VARCHAR(256)                                                ,</v>
      </c>
      <c r="V21" s="23" t="str">
        <f t="shared" si="1"/>
        <v xml:space="preserve">      UPDATEID                      AS updateid                   /* 수정자 */                     </v>
      </c>
    </row>
    <row r="22" spans="1:22">
      <c r="A22" s="59">
        <v>16</v>
      </c>
      <c r="B22" s="91" t="s">
        <v>673</v>
      </c>
      <c r="C22" s="91" t="s">
        <v>637</v>
      </c>
      <c r="D22" s="17" t="s">
        <v>275</v>
      </c>
      <c r="E22" s="33">
        <v>256</v>
      </c>
      <c r="F22" s="35"/>
      <c r="G22" s="33"/>
      <c r="H22" s="33"/>
      <c r="I22" s="35"/>
      <c r="J22" s="35"/>
      <c r="K22" s="90"/>
      <c r="M22" s="23" t="str">
        <f t="shared" si="0"/>
        <v xml:space="preserve">             updateDate                    VARCHAR(256)                                                </v>
      </c>
      <c r="V22" s="23" t="str">
        <f t="shared" si="1"/>
        <v xml:space="preserve">      UPDATEDATE                    AS updatedate                 /* 갱신 일시 */                   </v>
      </c>
    </row>
    <row r="23" spans="1:22">
      <c r="A23" s="59">
        <v>17</v>
      </c>
      <c r="B23" s="91"/>
      <c r="C23" s="91"/>
      <c r="D23" s="33"/>
      <c r="E23" s="33"/>
      <c r="F23" s="35"/>
      <c r="G23" s="33"/>
      <c r="H23" s="33"/>
      <c r="I23" s="35"/>
      <c r="J23" s="35"/>
      <c r="K23" s="90"/>
      <c r="M23" s="23" t="str">
        <f t="shared" si="0"/>
        <v xml:space="preserve">             --17</v>
      </c>
      <c r="V23" s="23" t="str">
        <f t="shared" si="1"/>
        <v xml:space="preserve">      --17</v>
      </c>
    </row>
    <row r="24" spans="1:22">
      <c r="A24" s="59">
        <v>18</v>
      </c>
      <c r="B24" s="91"/>
      <c r="C24" s="91"/>
      <c r="D24" s="33"/>
      <c r="E24" s="33"/>
      <c r="F24" s="33"/>
      <c r="G24" s="33"/>
      <c r="H24" s="33"/>
      <c r="I24" s="35"/>
      <c r="J24" s="35"/>
      <c r="K24" s="90"/>
      <c r="M24" s="23" t="str">
        <f t="shared" si="0"/>
        <v xml:space="preserve">             --18</v>
      </c>
      <c r="V24" s="23" t="str">
        <f t="shared" si="1"/>
        <v xml:space="preserve">      --18</v>
      </c>
    </row>
    <row r="25" spans="1:22">
      <c r="A25" s="59">
        <v>19</v>
      </c>
      <c r="B25" s="91"/>
      <c r="C25" s="2"/>
      <c r="D25" s="38"/>
      <c r="E25" s="39"/>
      <c r="F25" s="33"/>
      <c r="G25" s="33"/>
      <c r="H25" s="33"/>
      <c r="I25" s="93"/>
      <c r="J25" s="93"/>
      <c r="K25" s="19"/>
      <c r="M25" s="23" t="str">
        <f t="shared" si="0"/>
        <v xml:space="preserve">             --19</v>
      </c>
      <c r="V25" s="23" t="str">
        <f t="shared" si="1"/>
        <v xml:space="preserve">      --19</v>
      </c>
    </row>
    <row r="26" spans="1:22">
      <c r="A26" s="59">
        <v>20</v>
      </c>
      <c r="B26" s="92"/>
      <c r="C26" s="92"/>
      <c r="D26" s="33"/>
      <c r="E26" s="33"/>
      <c r="F26" s="33"/>
      <c r="G26" s="33"/>
      <c r="H26" s="33"/>
      <c r="I26" s="93"/>
      <c r="J26" s="93"/>
      <c r="K26" s="19"/>
      <c r="M26" s="23" t="str">
        <f t="shared" si="0"/>
        <v xml:space="preserve">             --20</v>
      </c>
      <c r="V26" s="23" t="str">
        <f t="shared" si="1"/>
        <v xml:space="preserve">      --20</v>
      </c>
    </row>
    <row r="27" spans="1:22">
      <c r="A27" s="59">
        <v>21</v>
      </c>
      <c r="B27" s="91"/>
      <c r="C27" s="91"/>
      <c r="D27" s="33"/>
      <c r="E27" s="33"/>
      <c r="F27" s="33"/>
      <c r="G27" s="33"/>
      <c r="H27" s="33"/>
      <c r="I27" s="35"/>
      <c r="J27" s="35"/>
      <c r="K27" s="90"/>
      <c r="M27" s="23" t="str">
        <f t="shared" si="0"/>
        <v xml:space="preserve">             --21</v>
      </c>
      <c r="V27" s="23" t="str">
        <f t="shared" si="1"/>
        <v xml:space="preserve">      --21</v>
      </c>
    </row>
    <row r="28" spans="1:22">
      <c r="A28" s="59">
        <v>22</v>
      </c>
      <c r="B28" s="91"/>
      <c r="C28" s="91"/>
      <c r="D28" s="33"/>
      <c r="E28" s="33"/>
      <c r="F28" s="33"/>
      <c r="G28" s="33"/>
      <c r="H28" s="33"/>
      <c r="I28" s="35"/>
      <c r="J28" s="35"/>
      <c r="K28" s="90"/>
      <c r="M28" s="23" t="str">
        <f t="shared" si="0"/>
        <v xml:space="preserve">             --22</v>
      </c>
      <c r="V28" s="23" t="str">
        <f t="shared" si="1"/>
        <v xml:space="preserve">      --22</v>
      </c>
    </row>
    <row r="29" spans="1:22">
      <c r="A29" s="59">
        <v>23</v>
      </c>
      <c r="B29" s="92"/>
      <c r="C29" s="92"/>
      <c r="D29" s="33"/>
      <c r="E29" s="33"/>
      <c r="F29" s="33"/>
      <c r="G29" s="33"/>
      <c r="H29" s="33"/>
      <c r="I29" s="93"/>
      <c r="J29" s="93"/>
      <c r="K29" s="19"/>
      <c r="M29" s="23" t="str">
        <f t="shared" si="0"/>
        <v xml:space="preserve">             --23</v>
      </c>
      <c r="V29" s="23" t="str">
        <f t="shared" si="1"/>
        <v xml:space="preserve">      --23</v>
      </c>
    </row>
    <row r="30" spans="1:22">
      <c r="A30" s="59">
        <v>24</v>
      </c>
      <c r="B30" s="91"/>
      <c r="C30" s="91"/>
      <c r="D30" s="33"/>
      <c r="E30" s="33"/>
      <c r="F30" s="33"/>
      <c r="G30" s="33"/>
      <c r="H30" s="33"/>
      <c r="I30" s="35"/>
      <c r="J30" s="35"/>
      <c r="K30" s="90"/>
      <c r="M30" s="23" t="str">
        <f t="shared" si="0"/>
        <v xml:space="preserve">             --24</v>
      </c>
      <c r="V30" s="23" t="str">
        <f t="shared" si="1"/>
        <v xml:space="preserve">      --24</v>
      </c>
    </row>
    <row r="31" spans="1:22">
      <c r="A31" s="59">
        <v>25</v>
      </c>
      <c r="B31" s="91"/>
      <c r="C31" s="91"/>
      <c r="D31" s="33"/>
      <c r="E31" s="33"/>
      <c r="F31" s="33"/>
      <c r="G31" s="33"/>
      <c r="H31" s="33"/>
      <c r="I31" s="35"/>
      <c r="J31" s="35"/>
      <c r="K31" s="90"/>
      <c r="M31" s="23" t="str">
        <f t="shared" si="0"/>
        <v xml:space="preserve">             --25</v>
      </c>
      <c r="V31" s="23" t="str">
        <f t="shared" si="1"/>
        <v xml:space="preserve">      --25</v>
      </c>
    </row>
    <row r="32" spans="1:22">
      <c r="A32" s="59">
        <v>26</v>
      </c>
      <c r="B32" s="92"/>
      <c r="C32" s="92"/>
      <c r="D32" s="17"/>
      <c r="E32" s="33"/>
      <c r="F32" s="33"/>
      <c r="G32" s="33"/>
      <c r="H32" s="33"/>
      <c r="I32" s="35"/>
      <c r="J32" s="35"/>
      <c r="K32" s="43"/>
      <c r="M32" s="23" t="str">
        <f t="shared" si="0"/>
        <v xml:space="preserve">             --26</v>
      </c>
      <c r="V32" s="23" t="str">
        <f t="shared" si="1"/>
        <v xml:space="preserve">      --26</v>
      </c>
    </row>
    <row r="33" spans="1:22">
      <c r="A33" s="59">
        <v>27</v>
      </c>
      <c r="B33" s="91"/>
      <c r="C33" s="91"/>
      <c r="D33" s="17"/>
      <c r="E33" s="33"/>
      <c r="F33" s="35"/>
      <c r="G33" s="33"/>
      <c r="H33" s="33"/>
      <c r="I33" s="35"/>
      <c r="J33" s="35"/>
      <c r="K33" s="43"/>
      <c r="M33" s="23" t="str">
        <f t="shared" si="0"/>
        <v xml:space="preserve">             --27</v>
      </c>
      <c r="V33" s="23" t="str">
        <f t="shared" si="1"/>
        <v xml:space="preserve">      --27</v>
      </c>
    </row>
    <row r="34" spans="1:22">
      <c r="A34" s="59">
        <v>28</v>
      </c>
      <c r="B34" s="91"/>
      <c r="C34" s="91"/>
      <c r="D34" s="33"/>
      <c r="E34" s="33"/>
      <c r="F34" s="33"/>
      <c r="G34" s="33"/>
      <c r="H34" s="33"/>
      <c r="I34" s="35"/>
      <c r="J34" s="35"/>
      <c r="K34" s="90"/>
      <c r="M34" s="23" t="str">
        <f t="shared" si="0"/>
        <v xml:space="preserve">             --28</v>
      </c>
      <c r="V34" s="23" t="str">
        <f t="shared" si="1"/>
        <v xml:space="preserve">      --28</v>
      </c>
    </row>
    <row r="35" spans="1:22">
      <c r="A35" s="59">
        <v>29</v>
      </c>
      <c r="B35" s="91"/>
      <c r="C35" s="91"/>
      <c r="D35" s="33"/>
      <c r="E35" s="33"/>
      <c r="F35" s="35"/>
      <c r="G35" s="33"/>
      <c r="H35" s="33"/>
      <c r="I35" s="35"/>
      <c r="J35" s="35"/>
      <c r="K35" s="90"/>
      <c r="M35" s="23" t="str">
        <f t="shared" si="0"/>
        <v xml:space="preserve">             --29</v>
      </c>
      <c r="V35" s="23" t="str">
        <f t="shared" si="1"/>
        <v xml:space="preserve">      --29</v>
      </c>
    </row>
    <row r="36" spans="1:22">
      <c r="A36" s="59">
        <v>30</v>
      </c>
      <c r="B36" s="91"/>
      <c r="C36" s="91"/>
      <c r="D36" s="33"/>
      <c r="E36" s="33"/>
      <c r="F36" s="33"/>
      <c r="G36" s="33"/>
      <c r="H36" s="33"/>
      <c r="I36" s="35"/>
      <c r="J36" s="35"/>
      <c r="K36" s="90"/>
      <c r="M36" s="23" t="str">
        <f t="shared" si="0"/>
        <v xml:space="preserve">             --30</v>
      </c>
      <c r="V36" s="23" t="str">
        <f t="shared" si="1"/>
        <v xml:space="preserve">      --30</v>
      </c>
    </row>
    <row r="37" spans="1:22">
      <c r="A37" s="59">
        <v>31</v>
      </c>
      <c r="B37" s="91"/>
      <c r="C37" s="91"/>
      <c r="D37" s="33"/>
      <c r="E37" s="33"/>
      <c r="F37" s="33"/>
      <c r="G37" s="33"/>
      <c r="H37" s="33"/>
      <c r="I37" s="35"/>
      <c r="J37" s="35"/>
      <c r="K37" s="90"/>
      <c r="M37" s="23" t="str">
        <f t="shared" si="0"/>
        <v xml:space="preserve">             --31</v>
      </c>
      <c r="V37" s="23" t="str">
        <f t="shared" si="1"/>
        <v xml:space="preserve">      --31</v>
      </c>
    </row>
    <row r="38" spans="1:22">
      <c r="A38" s="59">
        <v>32</v>
      </c>
      <c r="B38" s="91"/>
      <c r="C38" s="91"/>
      <c r="D38" s="33"/>
      <c r="E38" s="33"/>
      <c r="F38" s="33"/>
      <c r="G38" s="33"/>
      <c r="H38" s="33"/>
      <c r="I38" s="35"/>
      <c r="J38" s="35"/>
      <c r="K38" s="90"/>
      <c r="M38" s="23" t="str">
        <f t="shared" si="0"/>
        <v xml:space="preserve">             --32</v>
      </c>
      <c r="V38" s="23" t="str">
        <f t="shared" si="1"/>
        <v xml:space="preserve">      --32</v>
      </c>
    </row>
    <row r="39" spans="1:22">
      <c r="A39" s="59">
        <v>33</v>
      </c>
      <c r="B39" s="91"/>
      <c r="C39" s="91"/>
      <c r="D39" s="33"/>
      <c r="E39" s="33"/>
      <c r="F39" s="33"/>
      <c r="G39" s="33"/>
      <c r="H39" s="33"/>
      <c r="I39" s="35"/>
      <c r="J39" s="35"/>
      <c r="K39" s="90"/>
      <c r="M39" s="23" t="str">
        <f t="shared" si="0"/>
        <v xml:space="preserve">             --33</v>
      </c>
      <c r="V39" s="23" t="str">
        <f t="shared" si="1"/>
        <v xml:space="preserve">      --33</v>
      </c>
    </row>
    <row r="40" spans="1:22">
      <c r="A40" s="59">
        <v>34</v>
      </c>
      <c r="B40" s="92"/>
      <c r="C40" s="92"/>
      <c r="D40" s="33"/>
      <c r="E40" s="33"/>
      <c r="F40" s="33"/>
      <c r="G40" s="33"/>
      <c r="H40" s="33"/>
      <c r="I40" s="93"/>
      <c r="J40" s="93"/>
      <c r="K40" s="19"/>
      <c r="M40" s="23" t="str">
        <f t="shared" si="0"/>
        <v xml:space="preserve">             --34</v>
      </c>
      <c r="V40" s="23" t="str">
        <f t="shared" si="1"/>
        <v xml:space="preserve">      --34</v>
      </c>
    </row>
    <row r="41" spans="1:22">
      <c r="A41" s="59">
        <v>35</v>
      </c>
      <c r="B41" s="92"/>
      <c r="C41" s="92"/>
      <c r="D41" s="33"/>
      <c r="E41" s="33"/>
      <c r="F41" s="33"/>
      <c r="G41" s="33"/>
      <c r="H41" s="33"/>
      <c r="I41" s="93"/>
      <c r="J41" s="93"/>
      <c r="K41" s="19"/>
      <c r="M41" s="23" t="str">
        <f t="shared" si="0"/>
        <v xml:space="preserve">             --35</v>
      </c>
      <c r="V41" s="23" t="str">
        <f t="shared" si="1"/>
        <v xml:space="preserve">      --35</v>
      </c>
    </row>
    <row r="42" spans="1:22">
      <c r="A42" s="59">
        <v>36</v>
      </c>
      <c r="B42" s="92"/>
      <c r="C42" s="92"/>
      <c r="D42" s="33"/>
      <c r="E42" s="33"/>
      <c r="F42" s="33"/>
      <c r="G42" s="33"/>
      <c r="H42" s="33"/>
      <c r="I42" s="93"/>
      <c r="J42" s="93"/>
      <c r="K42" s="19"/>
      <c r="M42" s="23" t="str">
        <f t="shared" si="0"/>
        <v xml:space="preserve">             --36</v>
      </c>
      <c r="V42" s="23" t="str">
        <f t="shared" si="1"/>
        <v xml:space="preserve">      --36</v>
      </c>
    </row>
    <row r="43" spans="1:22">
      <c r="A43" s="59">
        <v>37</v>
      </c>
      <c r="B43" s="92"/>
      <c r="C43" s="92"/>
      <c r="D43" s="33"/>
      <c r="E43" s="33"/>
      <c r="F43" s="33"/>
      <c r="G43" s="33"/>
      <c r="H43" s="33"/>
      <c r="I43" s="93"/>
      <c r="J43" s="93"/>
      <c r="K43" s="19"/>
      <c r="M43" s="23" t="str">
        <f t="shared" si="0"/>
        <v xml:space="preserve">             --37</v>
      </c>
      <c r="V43" s="23" t="str">
        <f t="shared" si="1"/>
        <v xml:space="preserve">      --37</v>
      </c>
    </row>
    <row r="44" spans="1:22">
      <c r="A44" s="59">
        <v>38</v>
      </c>
      <c r="B44" s="92"/>
      <c r="C44" s="92"/>
      <c r="D44" s="33"/>
      <c r="E44" s="33"/>
      <c r="F44" s="33"/>
      <c r="G44" s="33"/>
      <c r="H44" s="33"/>
      <c r="I44" s="93"/>
      <c r="J44" s="93"/>
      <c r="K44" s="19"/>
      <c r="M44" s="23" t="str">
        <f t="shared" si="0"/>
        <v xml:space="preserve">             --38</v>
      </c>
      <c r="V44" s="23" t="str">
        <f t="shared" si="1"/>
        <v xml:space="preserve">      --38</v>
      </c>
    </row>
    <row r="45" spans="1:22">
      <c r="A45" s="59">
        <v>39</v>
      </c>
      <c r="B45" s="92"/>
      <c r="C45" s="92"/>
      <c r="D45" s="33"/>
      <c r="E45" s="33"/>
      <c r="F45" s="33"/>
      <c r="G45" s="33"/>
      <c r="H45" s="33"/>
      <c r="I45" s="93"/>
      <c r="J45" s="93"/>
      <c r="K45" s="19"/>
      <c r="M45" s="23" t="str">
        <f t="shared" si="0"/>
        <v xml:space="preserve">             --39</v>
      </c>
      <c r="V45" s="23" t="str">
        <f t="shared" si="1"/>
        <v xml:space="preserve">      --39</v>
      </c>
    </row>
    <row r="46" spans="1:22">
      <c r="A46" s="59">
        <v>40</v>
      </c>
      <c r="B46" s="92"/>
      <c r="C46" s="92"/>
      <c r="D46" s="33"/>
      <c r="E46" s="33"/>
      <c r="F46" s="33"/>
      <c r="G46" s="33"/>
      <c r="H46" s="33"/>
      <c r="I46" s="93"/>
      <c r="J46" s="93"/>
      <c r="K46" s="19"/>
      <c r="M46" s="23" t="str">
        <f t="shared" si="0"/>
        <v xml:space="preserve">             --40</v>
      </c>
      <c r="V46" s="23" t="str">
        <f t="shared" si="1"/>
        <v xml:space="preserve">      --40</v>
      </c>
    </row>
    <row r="47" spans="1:22">
      <c r="A47" s="59">
        <v>41</v>
      </c>
      <c r="B47" s="92"/>
      <c r="C47" s="92"/>
      <c r="D47" s="33"/>
      <c r="E47" s="33"/>
      <c r="F47" s="33"/>
      <c r="G47" s="33"/>
      <c r="H47" s="33"/>
      <c r="I47" s="93"/>
      <c r="J47" s="93"/>
      <c r="K47" s="19"/>
      <c r="M47" s="23" t="str">
        <f t="shared" si="0"/>
        <v xml:space="preserve">             --41</v>
      </c>
      <c r="V47" s="23" t="str">
        <f t="shared" si="1"/>
        <v xml:space="preserve">      --41</v>
      </c>
    </row>
    <row r="48" spans="1:22">
      <c r="A48" s="59">
        <v>42</v>
      </c>
      <c r="B48" s="92"/>
      <c r="C48" s="92"/>
      <c r="D48" s="33"/>
      <c r="E48" s="33"/>
      <c r="F48" s="33"/>
      <c r="G48" s="33"/>
      <c r="H48" s="33"/>
      <c r="I48" s="93"/>
      <c r="J48" s="93"/>
      <c r="K48" s="19"/>
      <c r="M48" s="23" t="str">
        <f t="shared" si="0"/>
        <v xml:space="preserve">             --42</v>
      </c>
      <c r="V48" s="23" t="str">
        <f t="shared" si="1"/>
        <v xml:space="preserve">      --42</v>
      </c>
    </row>
    <row r="49" spans="1:22">
      <c r="A49" s="59">
        <v>43</v>
      </c>
      <c r="B49" s="92"/>
      <c r="C49" s="92"/>
      <c r="D49" s="33"/>
      <c r="E49" s="33"/>
      <c r="F49" s="33"/>
      <c r="G49" s="33"/>
      <c r="H49" s="33"/>
      <c r="I49" s="93"/>
      <c r="J49" s="93"/>
      <c r="K49" s="19"/>
      <c r="M49" s="23" t="str">
        <f t="shared" si="0"/>
        <v xml:space="preserve">             --43</v>
      </c>
      <c r="V49" s="23" t="str">
        <f t="shared" si="1"/>
        <v xml:space="preserve">      --43</v>
      </c>
    </row>
    <row r="50" spans="1:22">
      <c r="A50" s="59">
        <v>44</v>
      </c>
      <c r="B50" s="92"/>
      <c r="C50" s="92"/>
      <c r="D50" s="33"/>
      <c r="E50" s="33"/>
      <c r="F50" s="33"/>
      <c r="G50" s="33"/>
      <c r="H50" s="33"/>
      <c r="I50" s="93"/>
      <c r="J50" s="93"/>
      <c r="K50" s="19"/>
      <c r="M50" s="23" t="str">
        <f t="shared" si="0"/>
        <v xml:space="preserve">             --44</v>
      </c>
      <c r="V50" s="23" t="str">
        <f t="shared" si="1"/>
        <v xml:space="preserve">      --44</v>
      </c>
    </row>
    <row r="51" spans="1:22">
      <c r="A51" s="59">
        <v>45</v>
      </c>
      <c r="B51" s="92"/>
      <c r="C51" s="92"/>
      <c r="D51" s="33"/>
      <c r="E51" s="33"/>
      <c r="F51" s="33"/>
      <c r="G51" s="33"/>
      <c r="H51" s="33"/>
      <c r="I51" s="93"/>
      <c r="J51" s="93"/>
      <c r="K51" s="19"/>
      <c r="M51" s="23" t="str">
        <f t="shared" si="0"/>
        <v xml:space="preserve">             --45</v>
      </c>
      <c r="V51" s="23" t="str">
        <f t="shared" si="1"/>
        <v xml:space="preserve">      --45</v>
      </c>
    </row>
    <row r="52" spans="1:22">
      <c r="A52" s="59">
        <v>46</v>
      </c>
      <c r="B52" s="92"/>
      <c r="C52" s="92"/>
      <c r="D52" s="33"/>
      <c r="E52" s="33"/>
      <c r="F52" s="33"/>
      <c r="G52" s="33"/>
      <c r="H52" s="33"/>
      <c r="I52" s="93"/>
      <c r="J52" s="93"/>
      <c r="K52" s="19"/>
      <c r="M52" s="23" t="str">
        <f t="shared" si="0"/>
        <v xml:space="preserve">             --46</v>
      </c>
      <c r="V52" s="23" t="str">
        <f t="shared" si="1"/>
        <v xml:space="preserve">      --46</v>
      </c>
    </row>
    <row r="53" spans="1:22">
      <c r="A53" s="59">
        <v>47</v>
      </c>
      <c r="B53" s="92"/>
      <c r="C53" s="92"/>
      <c r="D53" s="33"/>
      <c r="E53" s="33"/>
      <c r="F53" s="33"/>
      <c r="G53" s="33"/>
      <c r="H53" s="33"/>
      <c r="I53" s="93"/>
      <c r="J53" s="93"/>
      <c r="K53" s="19"/>
      <c r="M53" s="23" t="str">
        <f t="shared" si="0"/>
        <v xml:space="preserve">             --47</v>
      </c>
      <c r="V53" s="23" t="str">
        <f t="shared" si="1"/>
        <v xml:space="preserve">      --47</v>
      </c>
    </row>
    <row r="54" spans="1:22">
      <c r="A54" s="59">
        <v>48</v>
      </c>
      <c r="B54" s="92"/>
      <c r="C54" s="92"/>
      <c r="D54" s="33"/>
      <c r="E54" s="33"/>
      <c r="F54" s="33"/>
      <c r="G54" s="33"/>
      <c r="H54" s="33"/>
      <c r="I54" s="93"/>
      <c r="J54" s="93"/>
      <c r="K54" s="19"/>
      <c r="M54" s="23" t="str">
        <f t="shared" si="0"/>
        <v xml:space="preserve">             --48</v>
      </c>
      <c r="V54" s="23" t="str">
        <f t="shared" si="1"/>
        <v xml:space="preserve">      --48</v>
      </c>
    </row>
    <row r="55" spans="1:22">
      <c r="A55" s="59">
        <v>49</v>
      </c>
      <c r="B55" s="92"/>
      <c r="C55" s="92"/>
      <c r="D55" s="33"/>
      <c r="E55" s="33"/>
      <c r="F55" s="33"/>
      <c r="G55" s="33"/>
      <c r="H55" s="33"/>
      <c r="I55" s="93"/>
      <c r="J55" s="93"/>
      <c r="K55" s="19"/>
      <c r="M55" s="23" t="str">
        <f t="shared" si="0"/>
        <v xml:space="preserve">             --49</v>
      </c>
      <c r="V55" s="23" t="str">
        <f t="shared" si="1"/>
        <v xml:space="preserve">      --49</v>
      </c>
    </row>
    <row r="56" spans="1:22">
      <c r="A56" s="59">
        <v>50</v>
      </c>
      <c r="B56" s="92"/>
      <c r="C56" s="92"/>
      <c r="D56" s="33"/>
      <c r="E56" s="33"/>
      <c r="F56" s="33"/>
      <c r="G56" s="33"/>
      <c r="H56" s="33"/>
      <c r="I56" s="93"/>
      <c r="J56" s="93"/>
      <c r="K56" s="19"/>
      <c r="M56" s="23" t="str">
        <f t="shared" si="0"/>
        <v xml:space="preserve">             --50</v>
      </c>
      <c r="V56" s="23" t="str">
        <f t="shared" si="1"/>
        <v xml:space="preserve">      --50</v>
      </c>
    </row>
    <row r="57" spans="1:22">
      <c r="A57" s="59">
        <v>51</v>
      </c>
      <c r="B57" s="92"/>
      <c r="C57" s="92"/>
      <c r="D57" s="33"/>
      <c r="E57" s="33"/>
      <c r="F57" s="33"/>
      <c r="G57" s="33"/>
      <c r="H57" s="33"/>
      <c r="I57" s="93"/>
      <c r="J57" s="93"/>
      <c r="K57" s="19"/>
      <c r="M57" s="23" t="str">
        <f t="shared" si="0"/>
        <v xml:space="preserve">             --51</v>
      </c>
      <c r="V57" s="23" t="str">
        <f t="shared" si="1"/>
        <v xml:space="preserve">      --51</v>
      </c>
    </row>
    <row r="58" spans="1:22">
      <c r="A58" s="59">
        <v>52</v>
      </c>
      <c r="B58" s="92"/>
      <c r="C58" s="92"/>
      <c r="D58" s="33"/>
      <c r="E58" s="33"/>
      <c r="F58" s="33"/>
      <c r="G58" s="33"/>
      <c r="H58" s="33"/>
      <c r="I58" s="93"/>
      <c r="J58" s="93"/>
      <c r="K58" s="19"/>
      <c r="M58" s="23" t="str">
        <f t="shared" si="0"/>
        <v xml:space="preserve">             --52</v>
      </c>
      <c r="V58" s="23" t="str">
        <f t="shared" si="1"/>
        <v xml:space="preserve">      --52</v>
      </c>
    </row>
    <row r="59" spans="1:22">
      <c r="A59" s="59">
        <v>53</v>
      </c>
      <c r="B59" s="92"/>
      <c r="C59" s="92"/>
      <c r="D59" s="33"/>
      <c r="E59" s="33"/>
      <c r="F59" s="33"/>
      <c r="G59" s="33"/>
      <c r="H59" s="33"/>
      <c r="I59" s="93"/>
      <c r="J59" s="93"/>
      <c r="K59" s="19"/>
      <c r="M59" s="23" t="str">
        <f t="shared" si="0"/>
        <v xml:space="preserve">             --53</v>
      </c>
      <c r="V59" s="23" t="str">
        <f t="shared" si="1"/>
        <v xml:space="preserve">      --53</v>
      </c>
    </row>
    <row r="60" spans="1:22">
      <c r="A60" s="59">
        <v>54</v>
      </c>
      <c r="B60" s="92"/>
      <c r="C60" s="92"/>
      <c r="D60" s="33"/>
      <c r="E60" s="33"/>
      <c r="F60" s="33"/>
      <c r="G60" s="33"/>
      <c r="H60" s="33"/>
      <c r="I60" s="93"/>
      <c r="J60" s="93"/>
      <c r="K60" s="19"/>
      <c r="M60" s="23" t="str">
        <f t="shared" si="0"/>
        <v xml:space="preserve">             --54</v>
      </c>
      <c r="V60" s="23" t="str">
        <f t="shared" si="1"/>
        <v xml:space="preserve">      --54</v>
      </c>
    </row>
    <row r="61" spans="1:22">
      <c r="A61" s="59">
        <v>55</v>
      </c>
      <c r="B61" s="92"/>
      <c r="C61" s="92"/>
      <c r="D61" s="33"/>
      <c r="E61" s="33"/>
      <c r="F61" s="33"/>
      <c r="G61" s="33"/>
      <c r="H61" s="33"/>
      <c r="I61" s="93"/>
      <c r="J61" s="93"/>
      <c r="K61" s="19"/>
      <c r="M61" s="23" t="str">
        <f t="shared" si="0"/>
        <v xml:space="preserve">             --55</v>
      </c>
      <c r="V61" s="23" t="str">
        <f t="shared" si="1"/>
        <v xml:space="preserve">      --55</v>
      </c>
    </row>
    <row r="62" spans="1:22">
      <c r="A62" s="59">
        <v>56</v>
      </c>
      <c r="B62" s="92"/>
      <c r="C62" s="92"/>
      <c r="D62" s="33"/>
      <c r="E62" s="33"/>
      <c r="F62" s="33"/>
      <c r="G62" s="33"/>
      <c r="H62" s="33"/>
      <c r="I62" s="93"/>
      <c r="J62" s="93"/>
      <c r="K62" s="19"/>
      <c r="M62" s="23" t="str">
        <f t="shared" si="0"/>
        <v xml:space="preserve">             --56</v>
      </c>
      <c r="V62" s="23" t="str">
        <f t="shared" si="1"/>
        <v xml:space="preserve">      --56</v>
      </c>
    </row>
    <row r="63" spans="1:22">
      <c r="A63" s="59">
        <v>57</v>
      </c>
      <c r="B63" s="92"/>
      <c r="C63" s="92"/>
      <c r="D63" s="33"/>
      <c r="E63" s="33"/>
      <c r="F63" s="33"/>
      <c r="G63" s="33"/>
      <c r="H63" s="33"/>
      <c r="I63" s="93"/>
      <c r="J63" s="93"/>
      <c r="K63" s="19"/>
      <c r="M63" s="23" t="str">
        <f t="shared" si="0"/>
        <v xml:space="preserve">             --57</v>
      </c>
      <c r="V63" s="23" t="str">
        <f t="shared" si="1"/>
        <v xml:space="preserve">      --57</v>
      </c>
    </row>
    <row r="64" spans="1:22">
      <c r="A64" s="59">
        <v>58</v>
      </c>
      <c r="B64" s="92"/>
      <c r="C64" s="92"/>
      <c r="D64" s="33"/>
      <c r="E64" s="33"/>
      <c r="F64" s="33"/>
      <c r="G64" s="33"/>
      <c r="H64" s="33"/>
      <c r="I64" s="93"/>
      <c r="J64" s="93"/>
      <c r="K64" s="19"/>
      <c r="M64" s="23" t="str">
        <f t="shared" si="0"/>
        <v xml:space="preserve">             --58</v>
      </c>
      <c r="V64" s="23" t="str">
        <f t="shared" si="1"/>
        <v xml:space="preserve">      --58</v>
      </c>
    </row>
    <row r="65" spans="1:22">
      <c r="A65" s="59">
        <v>59</v>
      </c>
      <c r="B65" s="92"/>
      <c r="C65" s="92"/>
      <c r="D65" s="33"/>
      <c r="E65" s="33"/>
      <c r="F65" s="33"/>
      <c r="G65" s="33"/>
      <c r="H65" s="33"/>
      <c r="I65" s="93"/>
      <c r="J65" s="93"/>
      <c r="K65" s="19"/>
      <c r="M65" s="23" t="str">
        <f t="shared" si="0"/>
        <v xml:space="preserve">             --59</v>
      </c>
      <c r="V65" s="23" t="str">
        <f t="shared" si="1"/>
        <v xml:space="preserve">      --59</v>
      </c>
    </row>
    <row r="66" spans="1:22">
      <c r="A66" s="59">
        <v>60</v>
      </c>
      <c r="B66" s="93"/>
      <c r="C66" s="92"/>
      <c r="D66" s="33"/>
      <c r="E66" s="33"/>
      <c r="F66" s="33"/>
      <c r="G66" s="33"/>
      <c r="H66" s="33"/>
      <c r="I66" s="93"/>
      <c r="J66" s="93"/>
      <c r="K66" s="19"/>
      <c r="M66" s="23" t="str">
        <f t="shared" si="0"/>
        <v xml:space="preserve">             --60</v>
      </c>
      <c r="V66" s="23" t="str">
        <f t="shared" si="1"/>
        <v xml:space="preserve">      --60</v>
      </c>
    </row>
    <row r="67" spans="1:22">
      <c r="A67" s="59">
        <v>61</v>
      </c>
      <c r="B67" s="93"/>
      <c r="C67" s="92"/>
      <c r="D67" s="33"/>
      <c r="E67" s="33"/>
      <c r="F67" s="33"/>
      <c r="G67" s="33"/>
      <c r="H67" s="33"/>
      <c r="I67" s="93"/>
      <c r="J67" s="93"/>
      <c r="K67" s="19"/>
      <c r="M67" s="23" t="str">
        <f t="shared" si="0"/>
        <v xml:space="preserve">             --61</v>
      </c>
      <c r="V67" s="23" t="str">
        <f t="shared" si="1"/>
        <v xml:space="preserve">      --61</v>
      </c>
    </row>
    <row r="68" spans="1:22">
      <c r="A68" s="59">
        <v>62</v>
      </c>
      <c r="B68" s="93"/>
      <c r="C68" s="92"/>
      <c r="D68" s="33"/>
      <c r="E68" s="33"/>
      <c r="F68" s="33"/>
      <c r="G68" s="33"/>
      <c r="H68" s="33"/>
      <c r="I68" s="93"/>
      <c r="J68" s="93"/>
      <c r="K68" s="19"/>
      <c r="M68" s="23" t="str">
        <f t="shared" si="0"/>
        <v xml:space="preserve">             --62</v>
      </c>
      <c r="V68" s="23" t="str">
        <f t="shared" si="1"/>
        <v xml:space="preserve">      --62</v>
      </c>
    </row>
    <row r="69" spans="1:22">
      <c r="A69" s="59">
        <v>63</v>
      </c>
      <c r="B69" s="93"/>
      <c r="C69" s="92"/>
      <c r="D69" s="33"/>
      <c r="E69" s="33"/>
      <c r="F69" s="33"/>
      <c r="G69" s="33"/>
      <c r="H69" s="33"/>
      <c r="I69" s="93"/>
      <c r="J69" s="93"/>
      <c r="K69" s="19"/>
      <c r="M69" s="23" t="str">
        <f t="shared" si="0"/>
        <v xml:space="preserve">             --63</v>
      </c>
      <c r="V69" s="23" t="str">
        <f t="shared" si="1"/>
        <v xml:space="preserve">      --63</v>
      </c>
    </row>
    <row r="70" spans="1:22">
      <c r="A70" s="59">
        <v>64</v>
      </c>
      <c r="B70" s="93"/>
      <c r="C70" s="92"/>
      <c r="D70" s="33"/>
      <c r="E70" s="33"/>
      <c r="F70" s="33"/>
      <c r="G70" s="33"/>
      <c r="H70" s="33"/>
      <c r="I70" s="93"/>
      <c r="J70" s="93"/>
      <c r="K70" s="19"/>
      <c r="M70" s="23" t="str">
        <f t="shared" si="0"/>
        <v xml:space="preserve">             --64</v>
      </c>
      <c r="V70" s="23" t="str">
        <f t="shared" si="1"/>
        <v xml:space="preserve">      --64</v>
      </c>
    </row>
    <row r="71" spans="1:22">
      <c r="A71" s="59">
        <v>65</v>
      </c>
      <c r="B71" s="93"/>
      <c r="C71" s="92"/>
      <c r="D71" s="33"/>
      <c r="E71" s="33"/>
      <c r="F71" s="33"/>
      <c r="G71" s="33"/>
      <c r="H71" s="33"/>
      <c r="I71" s="93"/>
      <c r="J71" s="93"/>
      <c r="K71" s="19"/>
      <c r="M71" s="23" t="str">
        <f t="shared" si="0"/>
        <v xml:space="preserve">             --65</v>
      </c>
      <c r="V71" s="23" t="str">
        <f t="shared" si="1"/>
        <v xml:space="preserve">      --65</v>
      </c>
    </row>
    <row r="72" spans="1:22">
      <c r="A72" s="59">
        <v>66</v>
      </c>
      <c r="B72" s="93"/>
      <c r="C72" s="92"/>
      <c r="D72" s="33"/>
      <c r="E72" s="33"/>
      <c r="F72" s="33"/>
      <c r="G72" s="33"/>
      <c r="H72" s="33"/>
      <c r="I72" s="93"/>
      <c r="J72" s="93"/>
      <c r="K72" s="19"/>
      <c r="M72" s="23" t="str">
        <f t="shared" ref="M72:M106" si="2">REPT(" ",13)&amp;IF(ISBLANK($B72),"--"&amp;$A72,
LEFT(SUBSTITUTE($B72," ","*")&amp;REPT(" ",30),30)&amp;
LEFT(IF(ISBLANK($D72),"",IF(OR(UPPER($D72)="DATE",UPPER($D72)="CLOB",UPPER($D72)="BLOB",UPPER($D72)="LONG",UPPER($D72)="TIMESTAMP"),UPPER($D72),IF(ISBLANK($E72),UPPER($D72),UPPER($D72)&amp;"("&amp;$E72&amp;")")))&amp;REPT(" ",15),15)&amp;
LEFT(IF(ISBLANK($F72),"","DEFAULT  "&amp;$F72)&amp;REPT(" ",19),19)&amp;
LEFT(IF(ISBLANK($J72),""," identity(" &amp; $J72 &amp; ") ")&amp;REPT(" ",17),17)&amp;
LEFT(IF(ISBLANK($H72),""," NOT NULL")&amp;REPT(" ",9),9)&amp;
IF(AND(ISBLANK(G$7),ISBLANK($B73)),"",","))</f>
        <v xml:space="preserve">             --66</v>
      </c>
      <c r="V72" s="23" t="str">
        <f t="shared" ref="V72:V106" si="3">REPT(" ",6)&amp;
IF(ISBLANK($B72),"--"&amp;UPPER($A72),LEFT(SUBSTITUTE(UPPER($B72)," ","*")&amp;REPT(" ",30),30)&amp;
LEFT("AS " &amp; LOWER(MID(SUBSTITUTE(PROPER($B72),"_",""),1,1))&amp;MID(SUBSTITUTE(PROPER($B72),"_",""),2,LEN(SUBSTITUTE(PROPER($B72),"_","")))&amp;REPT(" ",30),30)&amp;
LEFT(IF(ISBLANK($C72),"/**/","/* "&amp;$C72)&amp;" */"&amp;REPT(" ",30),30))</f>
        <v xml:space="preserve">      --66</v>
      </c>
    </row>
    <row r="73" spans="1:22">
      <c r="A73" s="59">
        <v>67</v>
      </c>
      <c r="B73" s="93"/>
      <c r="C73" s="92"/>
      <c r="D73" s="33"/>
      <c r="E73" s="33"/>
      <c r="F73" s="33"/>
      <c r="G73" s="33"/>
      <c r="H73" s="33"/>
      <c r="I73" s="93"/>
      <c r="J73" s="93"/>
      <c r="K73" s="19"/>
      <c r="M73" s="23" t="str">
        <f t="shared" si="2"/>
        <v xml:space="preserve">             --67</v>
      </c>
      <c r="V73" s="23" t="str">
        <f t="shared" si="3"/>
        <v xml:space="preserve">      --67</v>
      </c>
    </row>
    <row r="74" spans="1:22">
      <c r="A74" s="59">
        <v>68</v>
      </c>
      <c r="B74" s="93"/>
      <c r="C74" s="92"/>
      <c r="D74" s="33"/>
      <c r="E74" s="33"/>
      <c r="F74" s="33"/>
      <c r="G74" s="33"/>
      <c r="H74" s="33"/>
      <c r="I74" s="93"/>
      <c r="J74" s="93"/>
      <c r="K74" s="19"/>
      <c r="M74" s="23" t="str">
        <f t="shared" si="2"/>
        <v xml:space="preserve">             --68</v>
      </c>
      <c r="V74" s="23" t="str">
        <f t="shared" si="3"/>
        <v xml:space="preserve">      --68</v>
      </c>
    </row>
    <row r="75" spans="1:22">
      <c r="A75" s="59">
        <v>69</v>
      </c>
      <c r="B75" s="93"/>
      <c r="C75" s="92"/>
      <c r="D75" s="33"/>
      <c r="E75" s="33"/>
      <c r="F75" s="33"/>
      <c r="G75" s="33"/>
      <c r="H75" s="33"/>
      <c r="I75" s="93"/>
      <c r="J75" s="93"/>
      <c r="K75" s="19"/>
      <c r="M75" s="23" t="str">
        <f t="shared" si="2"/>
        <v xml:space="preserve">             --69</v>
      </c>
      <c r="V75" s="23" t="str">
        <f t="shared" si="3"/>
        <v xml:space="preserve">      --69</v>
      </c>
    </row>
    <row r="76" spans="1:22">
      <c r="A76" s="59">
        <v>70</v>
      </c>
      <c r="B76" s="93"/>
      <c r="C76" s="92"/>
      <c r="D76" s="33"/>
      <c r="E76" s="33"/>
      <c r="F76" s="33"/>
      <c r="G76" s="33"/>
      <c r="H76" s="33"/>
      <c r="I76" s="93"/>
      <c r="J76" s="93"/>
      <c r="K76" s="19"/>
      <c r="M76" s="23" t="str">
        <f t="shared" si="2"/>
        <v xml:space="preserve">             --70</v>
      </c>
      <c r="V76" s="23" t="str">
        <f t="shared" si="3"/>
        <v xml:space="preserve">      --70</v>
      </c>
    </row>
    <row r="77" spans="1:22">
      <c r="A77" s="59">
        <v>71</v>
      </c>
      <c r="B77" s="93"/>
      <c r="C77" s="92"/>
      <c r="D77" s="33"/>
      <c r="E77" s="33"/>
      <c r="F77" s="36"/>
      <c r="G77" s="33"/>
      <c r="H77" s="33"/>
      <c r="I77" s="93"/>
      <c r="J77" s="93"/>
      <c r="K77" s="19"/>
      <c r="M77" s="23" t="str">
        <f t="shared" si="2"/>
        <v xml:space="preserve">             --71</v>
      </c>
      <c r="V77" s="23" t="str">
        <f t="shared" si="3"/>
        <v xml:space="preserve">      --71</v>
      </c>
    </row>
    <row r="78" spans="1:22">
      <c r="A78" s="59">
        <v>72</v>
      </c>
      <c r="B78" s="93"/>
      <c r="C78" s="92"/>
      <c r="D78" s="33"/>
      <c r="E78" s="33"/>
      <c r="F78" s="33"/>
      <c r="G78" s="33"/>
      <c r="H78" s="33"/>
      <c r="I78" s="93"/>
      <c r="J78" s="93"/>
      <c r="K78" s="19"/>
      <c r="M78" s="23" t="str">
        <f t="shared" si="2"/>
        <v xml:space="preserve">             --72</v>
      </c>
      <c r="V78" s="23" t="str">
        <f t="shared" si="3"/>
        <v xml:space="preserve">      --72</v>
      </c>
    </row>
    <row r="79" spans="1:22">
      <c r="A79" s="59">
        <v>73</v>
      </c>
      <c r="B79" s="93"/>
      <c r="C79" s="92"/>
      <c r="D79" s="33"/>
      <c r="E79" s="33"/>
      <c r="F79" s="36"/>
      <c r="G79" s="33"/>
      <c r="H79" s="33"/>
      <c r="I79" s="93"/>
      <c r="J79" s="93"/>
      <c r="K79" s="19"/>
      <c r="M79" s="23" t="str">
        <f t="shared" si="2"/>
        <v xml:space="preserve">             --73</v>
      </c>
      <c r="V79" s="23" t="str">
        <f t="shared" si="3"/>
        <v xml:space="preserve">      --73</v>
      </c>
    </row>
    <row r="80" spans="1:22">
      <c r="A80" s="59">
        <v>74</v>
      </c>
      <c r="B80" s="93"/>
      <c r="C80" s="92"/>
      <c r="D80" s="33"/>
      <c r="E80" s="33"/>
      <c r="F80" s="33"/>
      <c r="G80" s="33"/>
      <c r="H80" s="33"/>
      <c r="I80" s="93"/>
      <c r="J80" s="93"/>
      <c r="K80" s="19"/>
      <c r="M80" s="23" t="str">
        <f t="shared" si="2"/>
        <v xml:space="preserve">             --74</v>
      </c>
      <c r="V80" s="23" t="str">
        <f t="shared" si="3"/>
        <v xml:space="preserve">      --74</v>
      </c>
    </row>
    <row r="81" spans="1:22">
      <c r="A81" s="59">
        <v>75</v>
      </c>
      <c r="B81" s="93"/>
      <c r="C81" s="92"/>
      <c r="D81" s="33"/>
      <c r="E81" s="33"/>
      <c r="F81" s="33"/>
      <c r="G81" s="33"/>
      <c r="H81" s="33"/>
      <c r="I81" s="93"/>
      <c r="J81" s="93"/>
      <c r="K81" s="19"/>
      <c r="M81" s="23" t="str">
        <f t="shared" si="2"/>
        <v xml:space="preserve">             --75</v>
      </c>
      <c r="V81" s="23" t="str">
        <f t="shared" si="3"/>
        <v xml:space="preserve">      --75</v>
      </c>
    </row>
    <row r="82" spans="1:22">
      <c r="A82" s="59">
        <v>76</v>
      </c>
      <c r="B82" s="93"/>
      <c r="C82" s="92"/>
      <c r="D82" s="33"/>
      <c r="E82" s="33"/>
      <c r="F82" s="33"/>
      <c r="G82" s="33"/>
      <c r="H82" s="33"/>
      <c r="I82" s="93"/>
      <c r="J82" s="93"/>
      <c r="K82" s="19"/>
      <c r="M82" s="23" t="str">
        <f t="shared" si="2"/>
        <v xml:space="preserve">             --76</v>
      </c>
      <c r="V82" s="23" t="str">
        <f t="shared" si="3"/>
        <v xml:space="preserve">      --76</v>
      </c>
    </row>
    <row r="83" spans="1:22">
      <c r="A83" s="59">
        <v>77</v>
      </c>
      <c r="B83" s="93"/>
      <c r="C83" s="92"/>
      <c r="D83" s="33"/>
      <c r="E83" s="33"/>
      <c r="F83" s="33"/>
      <c r="G83" s="33"/>
      <c r="H83" s="33"/>
      <c r="I83" s="93"/>
      <c r="J83" s="93"/>
      <c r="K83" s="19"/>
      <c r="M83" s="23" t="str">
        <f t="shared" si="2"/>
        <v xml:space="preserve">             --77</v>
      </c>
      <c r="V83" s="23" t="str">
        <f t="shared" si="3"/>
        <v xml:space="preserve">      --77</v>
      </c>
    </row>
    <row r="84" spans="1:22">
      <c r="A84" s="59">
        <v>78</v>
      </c>
      <c r="B84" s="93"/>
      <c r="C84" s="92"/>
      <c r="D84" s="33"/>
      <c r="E84" s="33"/>
      <c r="F84" s="33"/>
      <c r="G84" s="33"/>
      <c r="H84" s="33"/>
      <c r="I84" s="93"/>
      <c r="J84" s="93"/>
      <c r="K84" s="19"/>
      <c r="M84" s="23" t="str">
        <f t="shared" si="2"/>
        <v xml:space="preserve">             --78</v>
      </c>
      <c r="V84" s="23" t="str">
        <f t="shared" si="3"/>
        <v xml:space="preserve">      --78</v>
      </c>
    </row>
    <row r="85" spans="1:22">
      <c r="A85" s="59">
        <v>79</v>
      </c>
      <c r="B85" s="93"/>
      <c r="C85" s="92"/>
      <c r="D85" s="33"/>
      <c r="E85" s="33"/>
      <c r="F85" s="33"/>
      <c r="G85" s="33"/>
      <c r="H85" s="33"/>
      <c r="I85" s="93"/>
      <c r="J85" s="93"/>
      <c r="K85" s="19"/>
      <c r="M85" s="23" t="str">
        <f t="shared" si="2"/>
        <v xml:space="preserve">             --79</v>
      </c>
      <c r="V85" s="23" t="str">
        <f t="shared" si="3"/>
        <v xml:space="preserve">      --79</v>
      </c>
    </row>
    <row r="86" spans="1:22">
      <c r="A86" s="59">
        <v>80</v>
      </c>
      <c r="B86" s="93"/>
      <c r="C86" s="92"/>
      <c r="D86" s="33"/>
      <c r="E86" s="33"/>
      <c r="F86" s="33"/>
      <c r="G86" s="33"/>
      <c r="H86" s="33"/>
      <c r="I86" s="93"/>
      <c r="J86" s="93"/>
      <c r="K86" s="19"/>
      <c r="M86" s="23" t="str">
        <f t="shared" si="2"/>
        <v xml:space="preserve">             --80</v>
      </c>
      <c r="V86" s="23" t="str">
        <f t="shared" si="3"/>
        <v xml:space="preserve">      --80</v>
      </c>
    </row>
    <row r="87" spans="1:22">
      <c r="A87" s="59">
        <v>81</v>
      </c>
      <c r="B87" s="93"/>
      <c r="C87" s="92"/>
      <c r="D87" s="33"/>
      <c r="E87" s="33"/>
      <c r="F87" s="33"/>
      <c r="G87" s="33"/>
      <c r="H87" s="33"/>
      <c r="I87" s="93"/>
      <c r="J87" s="93"/>
      <c r="K87" s="19"/>
      <c r="M87" s="23" t="str">
        <f t="shared" si="2"/>
        <v xml:space="preserve">             --81</v>
      </c>
      <c r="V87" s="23" t="str">
        <f t="shared" si="3"/>
        <v xml:space="preserve">      --81</v>
      </c>
    </row>
    <row r="88" spans="1:22">
      <c r="A88" s="59">
        <v>82</v>
      </c>
      <c r="B88" s="93"/>
      <c r="C88" s="92"/>
      <c r="D88" s="33"/>
      <c r="E88" s="33"/>
      <c r="F88" s="33"/>
      <c r="G88" s="33"/>
      <c r="H88" s="33"/>
      <c r="I88" s="93"/>
      <c r="J88" s="93"/>
      <c r="K88" s="19"/>
      <c r="M88" s="23" t="str">
        <f t="shared" si="2"/>
        <v xml:space="preserve">             --82</v>
      </c>
      <c r="V88" s="23" t="str">
        <f t="shared" si="3"/>
        <v xml:space="preserve">      --82</v>
      </c>
    </row>
    <row r="89" spans="1:22">
      <c r="A89" s="59">
        <v>83</v>
      </c>
      <c r="B89" s="93"/>
      <c r="C89" s="92"/>
      <c r="D89" s="33"/>
      <c r="E89" s="33"/>
      <c r="F89" s="33"/>
      <c r="G89" s="33"/>
      <c r="H89" s="33"/>
      <c r="I89" s="93"/>
      <c r="J89" s="93"/>
      <c r="K89" s="19"/>
      <c r="M89" s="23" t="str">
        <f t="shared" si="2"/>
        <v xml:space="preserve">             --83</v>
      </c>
      <c r="V89" s="23" t="str">
        <f t="shared" si="3"/>
        <v xml:space="preserve">      --83</v>
      </c>
    </row>
    <row r="90" spans="1:22">
      <c r="A90" s="59">
        <v>84</v>
      </c>
      <c r="B90" s="93"/>
      <c r="C90" s="92"/>
      <c r="D90" s="33"/>
      <c r="E90" s="33"/>
      <c r="F90" s="33"/>
      <c r="G90" s="33"/>
      <c r="H90" s="33"/>
      <c r="I90" s="93"/>
      <c r="J90" s="93"/>
      <c r="K90" s="19"/>
      <c r="M90" s="23" t="str">
        <f t="shared" si="2"/>
        <v xml:space="preserve">             --84</v>
      </c>
      <c r="V90" s="23" t="str">
        <f t="shared" si="3"/>
        <v xml:space="preserve">      --84</v>
      </c>
    </row>
    <row r="91" spans="1:22">
      <c r="A91" s="59">
        <v>85</v>
      </c>
      <c r="B91" s="93"/>
      <c r="C91" s="92"/>
      <c r="D91" s="33"/>
      <c r="E91" s="33"/>
      <c r="F91" s="33"/>
      <c r="G91" s="33"/>
      <c r="H91" s="33"/>
      <c r="I91" s="93"/>
      <c r="J91" s="93"/>
      <c r="K91" s="19"/>
      <c r="M91" s="23" t="str">
        <f t="shared" si="2"/>
        <v xml:space="preserve">             --85</v>
      </c>
      <c r="V91" s="23" t="str">
        <f t="shared" si="3"/>
        <v xml:space="preserve">      --85</v>
      </c>
    </row>
    <row r="92" spans="1:22">
      <c r="A92" s="59">
        <v>86</v>
      </c>
      <c r="B92" s="93"/>
      <c r="C92" s="92"/>
      <c r="D92" s="33"/>
      <c r="E92" s="33"/>
      <c r="F92" s="33"/>
      <c r="G92" s="33"/>
      <c r="H92" s="33"/>
      <c r="I92" s="93"/>
      <c r="J92" s="93"/>
      <c r="K92" s="19"/>
      <c r="M92" s="23" t="str">
        <f t="shared" si="2"/>
        <v xml:space="preserve">             --86</v>
      </c>
      <c r="V92" s="23" t="str">
        <f t="shared" si="3"/>
        <v xml:space="preserve">      --86</v>
      </c>
    </row>
    <row r="93" spans="1:22">
      <c r="A93" s="59">
        <v>87</v>
      </c>
      <c r="B93" s="93"/>
      <c r="C93" s="92"/>
      <c r="D93" s="33"/>
      <c r="E93" s="33"/>
      <c r="F93" s="33"/>
      <c r="G93" s="33"/>
      <c r="H93" s="33"/>
      <c r="I93" s="93"/>
      <c r="J93" s="93"/>
      <c r="K93" s="19"/>
      <c r="M93" s="23" t="str">
        <f t="shared" si="2"/>
        <v xml:space="preserve">             --87</v>
      </c>
      <c r="V93" s="23" t="str">
        <f t="shared" si="3"/>
        <v xml:space="preserve">      --87</v>
      </c>
    </row>
    <row r="94" spans="1:22">
      <c r="A94" s="59">
        <v>88</v>
      </c>
      <c r="B94" s="93"/>
      <c r="C94" s="92"/>
      <c r="D94" s="33"/>
      <c r="E94" s="33"/>
      <c r="F94" s="33"/>
      <c r="G94" s="33"/>
      <c r="H94" s="33"/>
      <c r="I94" s="93"/>
      <c r="J94" s="93"/>
      <c r="K94" s="19"/>
      <c r="M94" s="23" t="str">
        <f t="shared" si="2"/>
        <v xml:space="preserve">             --88</v>
      </c>
      <c r="V94" s="23" t="str">
        <f t="shared" si="3"/>
        <v xml:space="preserve">      --88</v>
      </c>
    </row>
    <row r="95" spans="1:22">
      <c r="A95" s="59">
        <v>89</v>
      </c>
      <c r="B95" s="93"/>
      <c r="C95" s="92"/>
      <c r="D95" s="33"/>
      <c r="E95" s="33"/>
      <c r="F95" s="33"/>
      <c r="G95" s="33"/>
      <c r="H95" s="33"/>
      <c r="I95" s="93"/>
      <c r="J95" s="93"/>
      <c r="K95" s="19"/>
      <c r="M95" s="23" t="str">
        <f t="shared" si="2"/>
        <v xml:space="preserve">             --89</v>
      </c>
      <c r="V95" s="23" t="str">
        <f t="shared" si="3"/>
        <v xml:space="preserve">      --89</v>
      </c>
    </row>
    <row r="96" spans="1:22">
      <c r="A96" s="59">
        <v>90</v>
      </c>
      <c r="B96" s="93"/>
      <c r="C96" s="92"/>
      <c r="D96" s="33"/>
      <c r="E96" s="33"/>
      <c r="F96" s="33"/>
      <c r="G96" s="33"/>
      <c r="H96" s="33"/>
      <c r="I96" s="93"/>
      <c r="J96" s="93"/>
      <c r="K96" s="19"/>
      <c r="M96" s="23" t="str">
        <f t="shared" si="2"/>
        <v xml:space="preserve">             --90</v>
      </c>
      <c r="V96" s="23" t="str">
        <f t="shared" si="3"/>
        <v xml:space="preserve">      --90</v>
      </c>
    </row>
    <row r="97" spans="1:22">
      <c r="A97" s="59">
        <v>91</v>
      </c>
      <c r="B97" s="93"/>
      <c r="C97" s="92"/>
      <c r="D97" s="33"/>
      <c r="E97" s="33"/>
      <c r="F97" s="36"/>
      <c r="G97" s="33"/>
      <c r="H97" s="33"/>
      <c r="I97" s="93"/>
      <c r="J97" s="93"/>
      <c r="K97" s="19"/>
      <c r="M97" s="23" t="str">
        <f t="shared" si="2"/>
        <v xml:space="preserve">             --91</v>
      </c>
      <c r="V97" s="23" t="str">
        <f t="shared" si="3"/>
        <v xml:space="preserve">      --91</v>
      </c>
    </row>
    <row r="98" spans="1:22">
      <c r="A98" s="59">
        <v>92</v>
      </c>
      <c r="B98" s="2"/>
      <c r="C98" s="2"/>
      <c r="D98" s="33"/>
      <c r="E98" s="33"/>
      <c r="F98" s="33"/>
      <c r="G98" s="33"/>
      <c r="H98" s="33"/>
      <c r="I98" s="93"/>
      <c r="J98" s="93"/>
      <c r="K98" s="19"/>
      <c r="M98" s="23" t="str">
        <f t="shared" si="2"/>
        <v xml:space="preserve">             --92</v>
      </c>
      <c r="V98" s="23" t="str">
        <f t="shared" si="3"/>
        <v xml:space="preserve">      --92</v>
      </c>
    </row>
    <row r="99" spans="1:22">
      <c r="A99" s="59">
        <v>93</v>
      </c>
      <c r="B99" s="2"/>
      <c r="C99" s="2"/>
      <c r="D99" s="33"/>
      <c r="E99" s="33"/>
      <c r="F99" s="33"/>
      <c r="G99" s="33"/>
      <c r="H99" s="33"/>
      <c r="I99" s="33"/>
      <c r="J99" s="33"/>
      <c r="K99" s="19"/>
      <c r="M99" s="23" t="str">
        <f t="shared" si="2"/>
        <v xml:space="preserve">             --93</v>
      </c>
      <c r="V99" s="23" t="str">
        <f t="shared" si="3"/>
        <v xml:space="preserve">      --93</v>
      </c>
    </row>
    <row r="100" spans="1:22">
      <c r="A100" s="59">
        <v>94</v>
      </c>
      <c r="B100" s="93"/>
      <c r="C100" s="92"/>
      <c r="D100" s="33"/>
      <c r="E100" s="33"/>
      <c r="F100" s="33"/>
      <c r="G100" s="33"/>
      <c r="H100" s="33"/>
      <c r="I100" s="33"/>
      <c r="J100" s="33"/>
      <c r="K100" s="19"/>
      <c r="M100" s="23" t="str">
        <f t="shared" si="2"/>
        <v xml:space="preserve">             --94</v>
      </c>
      <c r="V100" s="23" t="str">
        <f t="shared" si="3"/>
        <v xml:space="preserve">      --94</v>
      </c>
    </row>
    <row r="101" spans="1:22">
      <c r="A101" s="59">
        <v>95</v>
      </c>
      <c r="B101" s="2"/>
      <c r="C101" s="2"/>
      <c r="D101" s="33"/>
      <c r="E101" s="33"/>
      <c r="F101" s="33"/>
      <c r="G101" s="33"/>
      <c r="H101" s="33"/>
      <c r="I101" s="93"/>
      <c r="J101" s="93"/>
      <c r="K101" s="19"/>
      <c r="M101" s="23" t="str">
        <f t="shared" si="2"/>
        <v xml:space="preserve">             --95</v>
      </c>
      <c r="V101" s="23" t="str">
        <f t="shared" si="3"/>
        <v xml:space="preserve">      --95</v>
      </c>
    </row>
    <row r="102" spans="1:22">
      <c r="A102" s="59">
        <v>96</v>
      </c>
      <c r="B102" s="2"/>
      <c r="C102" s="97"/>
      <c r="D102" s="38"/>
      <c r="E102" s="39"/>
      <c r="F102" s="40"/>
      <c r="G102" s="44"/>
      <c r="H102" s="42"/>
      <c r="I102" s="41"/>
      <c r="J102" s="41"/>
      <c r="K102" s="43"/>
      <c r="M102" s="23" t="str">
        <f t="shared" si="2"/>
        <v xml:space="preserve">             --96</v>
      </c>
      <c r="V102" s="23" t="str">
        <f t="shared" si="3"/>
        <v xml:space="preserve">      --96</v>
      </c>
    </row>
    <row r="103" spans="1:22">
      <c r="A103" s="59">
        <v>97</v>
      </c>
      <c r="B103" s="2"/>
      <c r="C103" s="2"/>
      <c r="D103" s="33"/>
      <c r="E103" s="46"/>
      <c r="F103" s="33"/>
      <c r="G103" s="33"/>
      <c r="H103" s="33"/>
      <c r="I103" s="33"/>
      <c r="J103" s="33"/>
      <c r="K103" s="19"/>
      <c r="M103" s="23" t="str">
        <f t="shared" si="2"/>
        <v xml:space="preserve">             --97</v>
      </c>
      <c r="V103" s="23" t="str">
        <f t="shared" si="3"/>
        <v xml:space="preserve">      --97</v>
      </c>
    </row>
    <row r="104" spans="1:22">
      <c r="A104" s="59">
        <v>98</v>
      </c>
      <c r="B104" s="2"/>
      <c r="C104" s="2"/>
      <c r="D104" s="33"/>
      <c r="E104" s="46"/>
      <c r="F104" s="33"/>
      <c r="G104" s="33"/>
      <c r="H104" s="33"/>
      <c r="I104" s="33"/>
      <c r="J104" s="33"/>
      <c r="K104" s="19"/>
      <c r="M104" s="23" t="str">
        <f t="shared" si="2"/>
        <v xml:space="preserve">             --98</v>
      </c>
      <c r="V104" s="23" t="str">
        <f t="shared" si="3"/>
        <v xml:space="preserve">      --98</v>
      </c>
    </row>
    <row r="105" spans="1:22">
      <c r="A105" s="59">
        <v>99</v>
      </c>
      <c r="B105" s="2"/>
      <c r="C105" s="2"/>
      <c r="D105" s="33"/>
      <c r="E105" s="46"/>
      <c r="F105" s="36"/>
      <c r="G105" s="33"/>
      <c r="H105" s="33"/>
      <c r="I105" s="93"/>
      <c r="J105" s="93"/>
      <c r="K105" s="19"/>
      <c r="M105" s="23" t="str">
        <f t="shared" si="2"/>
        <v xml:space="preserve">             --99</v>
      </c>
      <c r="V105" s="23" t="str">
        <f t="shared" si="3"/>
        <v xml:space="preserve">      --99</v>
      </c>
    </row>
    <row r="106" spans="1:22">
      <c r="A106" s="59">
        <v>100</v>
      </c>
      <c r="B106" s="97"/>
      <c r="C106" s="91"/>
      <c r="D106" s="33"/>
      <c r="E106" s="46"/>
      <c r="F106" s="33"/>
      <c r="G106" s="33"/>
      <c r="H106" s="33"/>
      <c r="I106" s="93"/>
      <c r="J106" s="93"/>
      <c r="K106" s="19"/>
      <c r="M106" s="23" t="str">
        <f t="shared" si="2"/>
        <v xml:space="preserve">             --100</v>
      </c>
      <c r="V106" s="23" t="str">
        <f t="shared" si="3"/>
        <v xml:space="preserve">      --100</v>
      </c>
    </row>
    <row r="107" spans="1:22">
      <c r="A107" s="30"/>
      <c r="B107" s="27"/>
      <c r="C107" s="27"/>
      <c r="D107" s="30"/>
      <c r="E107" s="30"/>
      <c r="F107" s="27"/>
      <c r="G107" s="27"/>
      <c r="H107" s="27"/>
      <c r="I107" s="27"/>
      <c r="J107" s="27"/>
      <c r="K107" s="27"/>
      <c r="M107" s="23"/>
    </row>
    <row r="108" spans="1:22">
      <c r="B108" s="20" t="s">
        <v>2</v>
      </c>
      <c r="M108" s="24" t="str">
        <f>REPT(" ",13)&amp;IF(ISBLANK($G7),"--","")&amp;"CONSTRAINT   " &amp; "idx_" &amp; $C$3 &amp; "_pk  PRIMARY KEY CLUSTERED ("</f>
        <v xml:space="preserve">             --CONSTRAINT   idx_SalesArea_pk  PRIMARY KEY CLUSTERED (</v>
      </c>
    </row>
    <row r="109" spans="1:22">
      <c r="B109" s="59" t="s">
        <v>5</v>
      </c>
      <c r="C109" s="59" t="s">
        <v>3</v>
      </c>
      <c r="D109" s="59" t="s">
        <v>4</v>
      </c>
      <c r="M109" s="18" t="str">
        <f>REPT(" ",25)&amp;IF($G7="","--"&amp;$A7,"")&amp;IF($G7&lt;&gt;"",IF(LEFT(TRIM($M108),10)="CONSTRAINT"," ",",") &amp; TRIM($B7),"")</f>
        <v xml:space="preserve">                         --1</v>
      </c>
    </row>
    <row r="110" spans="1:22">
      <c r="B110" s="21"/>
      <c r="C110" s="34"/>
      <c r="D110" s="59"/>
      <c r="M110" s="24" t="str">
        <f t="shared" ref="M110:M117" si="4">REPT(" ",25)&amp;IF($G8="","--"&amp;$A8,"")&amp;IF($G8&lt;&gt;"",IF(LEFT(TRIM($M109),10)="CONSTRAINT"," ",",") &amp; TRIM($B8),"")</f>
        <v xml:space="preserve">                         --2</v>
      </c>
    </row>
    <row r="111" spans="1:22">
      <c r="B111" s="21"/>
      <c r="C111" s="97"/>
      <c r="D111" s="21"/>
      <c r="G111" s="29"/>
      <c r="M111" s="24" t="str">
        <f t="shared" si="4"/>
        <v xml:space="preserve">                         --3</v>
      </c>
    </row>
    <row r="112" spans="1:22">
      <c r="B112" s="31"/>
      <c r="C112" s="97"/>
      <c r="D112" s="21"/>
      <c r="G112" s="29"/>
      <c r="M112" s="24" t="str">
        <f t="shared" si="4"/>
        <v xml:space="preserve">                         --4</v>
      </c>
    </row>
    <row r="113" spans="2:17">
      <c r="B113" s="31"/>
      <c r="C113" s="97"/>
      <c r="D113" s="21"/>
      <c r="G113" s="29"/>
      <c r="M113" s="24" t="str">
        <f t="shared" si="4"/>
        <v xml:space="preserve">                         --5</v>
      </c>
    </row>
    <row r="114" spans="2:17">
      <c r="B114" s="31"/>
      <c r="C114" s="97"/>
      <c r="D114" s="21"/>
      <c r="M114" s="24" t="str">
        <f t="shared" si="4"/>
        <v xml:space="preserve">                         --6</v>
      </c>
    </row>
    <row r="115" spans="2:17">
      <c r="B115" s="21"/>
      <c r="C115" s="97"/>
      <c r="D115" s="59"/>
      <c r="M115" s="24" t="str">
        <f t="shared" si="4"/>
        <v xml:space="preserve">                         --7</v>
      </c>
    </row>
    <row r="116" spans="2:17">
      <c r="B116" s="21"/>
      <c r="C116" s="97"/>
      <c r="D116" s="59"/>
      <c r="M116" s="24" t="str">
        <f t="shared" si="4"/>
        <v xml:space="preserve">                         --8</v>
      </c>
    </row>
    <row r="117" spans="2:17">
      <c r="B117" s="21"/>
      <c r="C117" s="97"/>
      <c r="D117" s="59"/>
      <c r="M117" s="24" t="str">
        <f t="shared" si="4"/>
        <v xml:space="preserve">                         --9</v>
      </c>
    </row>
    <row r="118" spans="2:17">
      <c r="M118" s="24" t="str">
        <f>REPT(" ",25)&amp;IF($G16="","--"&amp;$A16,"")&amp;IF($G16&lt;&gt;"",IF(LEFT(TRIM($M117),10)="CONSTRAINT"," ",",") &amp; TRIM($B16),"")</f>
        <v xml:space="preserve">                         --10</v>
      </c>
    </row>
    <row r="119" spans="2:17">
      <c r="B119" s="20" t="s">
        <v>0</v>
      </c>
      <c r="M119" s="61" t="s">
        <v>272</v>
      </c>
    </row>
    <row r="120" spans="2:17">
      <c r="M120" s="26"/>
    </row>
    <row r="121" spans="2:17">
      <c r="M121" s="18" t="str">
        <f>IF(OR(TRIM(UPPER($I$5))="",TRIM(UPPER($I$5))="DEFAULT"),"","ALTER  TABLE  "&amp;$C$3&amp;"  STORAGE  (BUFFER_POOL  "&amp;UPPER($I$5)&amp;");  --KEEP | RECYCLE | DEFAULT")</f>
        <v/>
      </c>
    </row>
    <row r="122" spans="2:17">
      <c r="M122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'판매지역',                                                      'schema', 'dbo', 'table', 'SalesArea';              -- 테이블</v>
      </c>
      <c r="Q122" s="25"/>
    </row>
    <row r="123" spans="2:17">
      <c r="M123" s="24" t="str">
        <f>IF(TRIM($B7)="","-- "&amp;$A7&amp;",",IF(LEFT($B7,2)="--","-- "&amp;$A7&amp;",","")&amp;"EXEC sp_addextendedproperty 'MS_Description', '"&amp;TRIM($C7)&amp;IF($K7="","","("&amp;$K7&amp;")")&amp;"', "&amp;REPT(" ",60-LENB(TRIM($C7)&amp;IF($K7="","","("&amp;$K7&amp;")")))&amp;" 'schema', 'dbo', N'table', '"&amp;TRIM($C$3)&amp;"', 'column', '"&amp;TRIM($B7)&amp;"';"&amp;REPT(" ",20-LENB(TRIM($B7)))&amp;"-- 컬럼")</f>
        <v>EXEC sp_addextendedproperty 'MS_Description', '상점번호',                                                      'schema', 'dbo', N'table', 'SalesArea', 'column', 'storeNumber';         -- 컬럼</v>
      </c>
      <c r="Q123" s="25"/>
    </row>
    <row r="124" spans="2:17">
      <c r="M124" s="24" t="str">
        <f t="shared" ref="M124:M187" si="5">IF(TRIM($B8)="","-- "&amp;$A8&amp;",",IF(LEFT($B8,2)="--","-- "&amp;$A8&amp;",","")&amp;"EXEC sp_addextendedproperty 'MS_Description', '"&amp;TRIM($C8)&amp;IF($K8="","","("&amp;$K8&amp;")")&amp;"', "&amp;REPT(" ",60-LENB(TRIM($C8)&amp;IF($K8="","","("&amp;$K8&amp;")")))&amp;" 'schema', 'dbo', N'table', '"&amp;TRIM($C$3)&amp;"', 'column', '"&amp;TRIM($B8)&amp;"';"&amp;REPT(" ",20-LENB(TRIM($B8)))&amp;"-- 컬럼")</f>
        <v>EXEC sp_addextendedproperty 'MS_Description', '상점명(AES256)',                                                'schema', 'dbo', N'table', 'SalesArea', 'column', 'storeName';           -- 컬럼</v>
      </c>
      <c r="Q124" s="25"/>
    </row>
    <row r="125" spans="2:17">
      <c r="M125" s="24" t="str">
        <f t="shared" si="5"/>
        <v>EXEC sp_addextendedproperty 'MS_Description', '판매자명(AES256)',                                              'schema', 'dbo', N'table', 'SalesArea', 'column', 'sellerName';          -- 컬럼</v>
      </c>
      <c r="Q125" s="25"/>
    </row>
    <row r="126" spans="2:17">
      <c r="M126" s="24" t="str">
        <f t="shared" si="5"/>
        <v>EXEC sp_addextendedproperty 'MS_Description', '별명(AES256)',                                                  'schema', 'dbo', N'table', 'SalesArea', 'column', 'nickName';            -- 컬럼</v>
      </c>
      <c r="Q126" s="25"/>
    </row>
    <row r="127" spans="2:17">
      <c r="M127" s="24" t="str">
        <f t="shared" si="5"/>
        <v>EXEC sp_addextendedproperty 'MS_Description', '전화번호(AES256)',                                              'schema', 'dbo', N'table', 'SalesArea', 'column', 'phoneNumber';         -- 컬럼</v>
      </c>
      <c r="Q127" s="25"/>
    </row>
    <row r="128" spans="2:17">
      <c r="M128" s="24" t="str">
        <f t="shared" si="5"/>
        <v>EXEC sp_addextendedproperty 'MS_Description', '이메일주소(AES256)',                                            'schema', 'dbo', N'table', 'SalesArea', 'column', 'emailAddress';        -- 컬럼</v>
      </c>
      <c r="Q128" s="25"/>
    </row>
    <row r="129" spans="13:17">
      <c r="M129" s="24" t="str">
        <f t="shared" si="5"/>
        <v>EXEC sp_addextendedproperty 'MS_Description', '우편번호(지번)(AES256)',                                        'schema', 'dbo', N'table', 'SalesArea', 'column', 'zipCode';             -- 컬럼</v>
      </c>
      <c r="Q129" s="25"/>
    </row>
    <row r="130" spans="13:17">
      <c r="M130" s="24" t="str">
        <f t="shared" si="5"/>
        <v>EXEC sp_addextendedproperty 'MS_Description', '우편번호(도로명)(AES256)',                                      'schema', 'dbo', N'table', 'SalesArea', 'column', 'postalCode';          -- 컬럼</v>
      </c>
      <c r="Q130" s="25"/>
    </row>
    <row r="131" spans="13:17">
      <c r="M131" s="24" t="str">
        <f t="shared" si="5"/>
        <v>EXEC sp_addextendedproperty 'MS_Description', '기본주소(AES256)',                                              'schema', 'dbo', N'table', 'SalesArea', 'column', 'baseAddress';         -- 컬럼</v>
      </c>
      <c r="Q131" s="25"/>
    </row>
    <row r="132" spans="13:17">
      <c r="M132" s="24" t="str">
        <f t="shared" si="5"/>
        <v>EXEC sp_addextendedproperty 'MS_Description', '판매가능지역(AES256, 읍면동)',                                  'schema', 'dbo', N'table', 'SalesArea', 'column', 'availableArea';       -- 컬럼</v>
      </c>
      <c r="Q132" s="25"/>
    </row>
    <row r="133" spans="13:17">
      <c r="M133" s="24" t="str">
        <f t="shared" si="5"/>
        <v>EXEC sp_addextendedproperty 'MS_Description', '사용여부(Y,N)',                                                 'schema', 'dbo', N'table', 'SalesArea', 'column', 'useAt';               -- 컬럼</v>
      </c>
      <c r="Q133" s="25"/>
    </row>
    <row r="134" spans="13:17">
      <c r="M134" s="24" t="str">
        <f t="shared" si="5"/>
        <v>EXEC sp_addextendedproperty 'MS_Description', '삭제여부(Y,N)',                                                 'schema', 'dbo', N'table', 'SalesArea', 'column', 'delAt';               -- 컬럼</v>
      </c>
      <c r="Q134" s="25"/>
    </row>
    <row r="135" spans="13:17">
      <c r="M135" s="24" t="str">
        <f t="shared" si="5"/>
        <v>EXEC sp_addextendedproperty 'MS_Description', '생성자',                                                        'schema', 'dbo', N'table', 'SalesArea', 'column', 'createId';            -- 컬럼</v>
      </c>
      <c r="Q135" s="25"/>
    </row>
    <row r="136" spans="13:17">
      <c r="M136" s="24" t="str">
        <f t="shared" si="5"/>
        <v>EXEC sp_addextendedproperty 'MS_Description', '생성 일시',                                                     'schema', 'dbo', N'table', 'SalesArea', 'column', 'createDate';          -- 컬럼</v>
      </c>
      <c r="Q136" s="25"/>
    </row>
    <row r="137" spans="13:17">
      <c r="M137" s="24" t="str">
        <f t="shared" si="5"/>
        <v>EXEC sp_addextendedproperty 'MS_Description', '수정자',                                                        'schema', 'dbo', N'table', 'SalesArea', 'column', 'updateId';            -- 컬럼</v>
      </c>
      <c r="Q137" s="25"/>
    </row>
    <row r="138" spans="13:17">
      <c r="M138" s="24" t="str">
        <f t="shared" si="5"/>
        <v>EXEC sp_addextendedproperty 'MS_Description', '갱신 일시',                                                     'schema', 'dbo', N'table', 'SalesArea', 'column', 'updateDate';          -- 컬럼</v>
      </c>
      <c r="Q138" s="25"/>
    </row>
    <row r="139" spans="13:17">
      <c r="M139" s="24" t="str">
        <f t="shared" si="5"/>
        <v>-- 17,</v>
      </c>
      <c r="Q139" s="25"/>
    </row>
    <row r="140" spans="13:17">
      <c r="M140" s="24" t="str">
        <f t="shared" si="5"/>
        <v>-- 18,</v>
      </c>
      <c r="Q140" s="25"/>
    </row>
    <row r="141" spans="13:17">
      <c r="M141" s="24" t="str">
        <f t="shared" si="5"/>
        <v>-- 19,</v>
      </c>
      <c r="Q141" s="25"/>
    </row>
    <row r="142" spans="13:17">
      <c r="M142" s="24" t="str">
        <f t="shared" si="5"/>
        <v>-- 20,</v>
      </c>
      <c r="Q142" s="25"/>
    </row>
    <row r="143" spans="13:17">
      <c r="M143" s="24" t="str">
        <f t="shared" si="5"/>
        <v>-- 21,</v>
      </c>
      <c r="Q143" s="25"/>
    </row>
    <row r="144" spans="13:17">
      <c r="M144" s="24" t="str">
        <f t="shared" si="5"/>
        <v>-- 22,</v>
      </c>
      <c r="Q144" s="25"/>
    </row>
    <row r="145" spans="13:17">
      <c r="M145" s="24" t="str">
        <f t="shared" si="5"/>
        <v>-- 23,</v>
      </c>
      <c r="Q145" s="25"/>
    </row>
    <row r="146" spans="13:17">
      <c r="M146" s="24" t="str">
        <f t="shared" si="5"/>
        <v>-- 24,</v>
      </c>
      <c r="Q146" s="25"/>
    </row>
    <row r="147" spans="13:17">
      <c r="M147" s="24" t="str">
        <f t="shared" si="5"/>
        <v>-- 25,</v>
      </c>
      <c r="Q147" s="25"/>
    </row>
    <row r="148" spans="13:17">
      <c r="M148" s="24" t="str">
        <f t="shared" si="5"/>
        <v>-- 26,</v>
      </c>
      <c r="Q148" s="25"/>
    </row>
    <row r="149" spans="13:17">
      <c r="M149" s="24" t="str">
        <f t="shared" si="5"/>
        <v>-- 27,</v>
      </c>
      <c r="Q149" s="25"/>
    </row>
    <row r="150" spans="13:17">
      <c r="M150" s="24" t="str">
        <f t="shared" si="5"/>
        <v>-- 28,</v>
      </c>
      <c r="Q150" s="25"/>
    </row>
    <row r="151" spans="13:17">
      <c r="M151" s="24" t="str">
        <f t="shared" si="5"/>
        <v>-- 29,</v>
      </c>
      <c r="Q151" s="25"/>
    </row>
    <row r="152" spans="13:17">
      <c r="M152" s="24" t="str">
        <f t="shared" si="5"/>
        <v>-- 30,</v>
      </c>
      <c r="Q152" s="25"/>
    </row>
    <row r="153" spans="13:17">
      <c r="M153" s="24" t="str">
        <f t="shared" si="5"/>
        <v>-- 31,</v>
      </c>
      <c r="Q153" s="25"/>
    </row>
    <row r="154" spans="13:17">
      <c r="M154" s="24" t="str">
        <f t="shared" si="5"/>
        <v>-- 32,</v>
      </c>
      <c r="Q154" s="25"/>
    </row>
    <row r="155" spans="13:17">
      <c r="M155" s="24" t="str">
        <f t="shared" si="5"/>
        <v>-- 33,</v>
      </c>
      <c r="Q155" s="25"/>
    </row>
    <row r="156" spans="13:17">
      <c r="M156" s="24" t="str">
        <f t="shared" si="5"/>
        <v>-- 34,</v>
      </c>
      <c r="Q156" s="25"/>
    </row>
    <row r="157" spans="13:17">
      <c r="M157" s="24" t="str">
        <f t="shared" si="5"/>
        <v>-- 35,</v>
      </c>
      <c r="Q157" s="25"/>
    </row>
    <row r="158" spans="13:17">
      <c r="M158" s="24" t="str">
        <f t="shared" si="5"/>
        <v>-- 36,</v>
      </c>
      <c r="Q158" s="25"/>
    </row>
    <row r="159" spans="13:17">
      <c r="M159" s="24" t="str">
        <f t="shared" si="5"/>
        <v>-- 37,</v>
      </c>
      <c r="Q159" s="25"/>
    </row>
    <row r="160" spans="13:17">
      <c r="M160" s="24" t="str">
        <f t="shared" si="5"/>
        <v>-- 38,</v>
      </c>
      <c r="Q160" s="25"/>
    </row>
    <row r="161" spans="12:17">
      <c r="M161" s="24" t="str">
        <f t="shared" si="5"/>
        <v>-- 39,</v>
      </c>
      <c r="Q161" s="25"/>
    </row>
    <row r="162" spans="12:17">
      <c r="M162" s="24" t="str">
        <f t="shared" si="5"/>
        <v>-- 40,</v>
      </c>
      <c r="Q162" s="25"/>
    </row>
    <row r="163" spans="12:17">
      <c r="M163" s="24" t="str">
        <f t="shared" si="5"/>
        <v>-- 41,</v>
      </c>
      <c r="Q163" s="25"/>
    </row>
    <row r="164" spans="12:17">
      <c r="M164" s="24" t="str">
        <f t="shared" si="5"/>
        <v>-- 42,</v>
      </c>
      <c r="Q164" s="25"/>
    </row>
    <row r="165" spans="12:17">
      <c r="M165" s="24" t="str">
        <f t="shared" si="5"/>
        <v>-- 43,</v>
      </c>
      <c r="Q165" s="25"/>
    </row>
    <row r="166" spans="12:17">
      <c r="M166" s="24" t="str">
        <f t="shared" si="5"/>
        <v>-- 44,</v>
      </c>
      <c r="Q166" s="25"/>
    </row>
    <row r="167" spans="12:17">
      <c r="M167" s="24" t="str">
        <f t="shared" si="5"/>
        <v>-- 45,</v>
      </c>
      <c r="Q167" s="25"/>
    </row>
    <row r="168" spans="12:17">
      <c r="M168" s="24" t="str">
        <f t="shared" si="5"/>
        <v>-- 46,</v>
      </c>
      <c r="Q168" s="25"/>
    </row>
    <row r="169" spans="12:17">
      <c r="M169" s="24" t="str">
        <f t="shared" si="5"/>
        <v>-- 47,</v>
      </c>
      <c r="Q169" s="25"/>
    </row>
    <row r="170" spans="12:17">
      <c r="M170" s="24" t="str">
        <f t="shared" si="5"/>
        <v>-- 48,</v>
      </c>
      <c r="Q170" s="25"/>
    </row>
    <row r="171" spans="12:17">
      <c r="M171" s="24" t="str">
        <f t="shared" si="5"/>
        <v>-- 49,</v>
      </c>
      <c r="Q171" s="25"/>
    </row>
    <row r="172" spans="12:17">
      <c r="M172" s="24" t="str">
        <f t="shared" si="5"/>
        <v>-- 50,</v>
      </c>
    </row>
    <row r="173" spans="12:17">
      <c r="L173" s="24"/>
      <c r="M173" s="24" t="str">
        <f t="shared" si="5"/>
        <v>-- 51,</v>
      </c>
    </row>
    <row r="174" spans="12:17">
      <c r="L174" s="24"/>
      <c r="M174" s="24" t="str">
        <f t="shared" si="5"/>
        <v>-- 52,</v>
      </c>
    </row>
    <row r="175" spans="12:17">
      <c r="L175" s="24"/>
      <c r="M175" s="24" t="str">
        <f t="shared" si="5"/>
        <v>-- 53,</v>
      </c>
    </row>
    <row r="176" spans="12:17">
      <c r="L176" s="24"/>
      <c r="M176" s="24" t="str">
        <f t="shared" si="5"/>
        <v>-- 54,</v>
      </c>
    </row>
    <row r="177" spans="12:13">
      <c r="L177" s="24"/>
      <c r="M177" s="24" t="str">
        <f t="shared" si="5"/>
        <v>-- 55,</v>
      </c>
    </row>
    <row r="178" spans="12:13">
      <c r="L178" s="24"/>
      <c r="M178" s="24" t="str">
        <f t="shared" si="5"/>
        <v>-- 56,</v>
      </c>
    </row>
    <row r="179" spans="12:13">
      <c r="L179" s="24"/>
      <c r="M179" s="24" t="str">
        <f t="shared" si="5"/>
        <v>-- 57,</v>
      </c>
    </row>
    <row r="180" spans="12:13">
      <c r="L180" s="24"/>
      <c r="M180" s="24" t="str">
        <f t="shared" si="5"/>
        <v>-- 58,</v>
      </c>
    </row>
    <row r="181" spans="12:13">
      <c r="L181" s="24"/>
      <c r="M181" s="24" t="str">
        <f t="shared" si="5"/>
        <v>-- 59,</v>
      </c>
    </row>
    <row r="182" spans="12:13">
      <c r="L182" s="24"/>
      <c r="M182" s="24" t="str">
        <f t="shared" si="5"/>
        <v>-- 60,</v>
      </c>
    </row>
    <row r="183" spans="12:13">
      <c r="L183" s="24"/>
      <c r="M183" s="24" t="str">
        <f t="shared" si="5"/>
        <v>-- 61,</v>
      </c>
    </row>
    <row r="184" spans="12:13">
      <c r="L184" s="24"/>
      <c r="M184" s="24" t="str">
        <f t="shared" si="5"/>
        <v>-- 62,</v>
      </c>
    </row>
    <row r="185" spans="12:13">
      <c r="L185" s="24"/>
      <c r="M185" s="24" t="str">
        <f t="shared" si="5"/>
        <v>-- 63,</v>
      </c>
    </row>
    <row r="186" spans="12:13">
      <c r="L186" s="24"/>
      <c r="M186" s="24" t="str">
        <f t="shared" si="5"/>
        <v>-- 64,</v>
      </c>
    </row>
    <row r="187" spans="12:13">
      <c r="L187" s="24"/>
      <c r="M187" s="24" t="str">
        <f t="shared" si="5"/>
        <v>-- 65,</v>
      </c>
    </row>
    <row r="188" spans="12:13">
      <c r="L188" s="24"/>
      <c r="M188" s="24" t="str">
        <f t="shared" ref="M188:M222" si="6">IF(TRIM($B72)="","-- "&amp;$A72&amp;",",IF(LEFT($B72,2)="--","-- "&amp;$A72&amp;",","")&amp;"EXEC sp_addextendedproperty 'MS_Description', '"&amp;TRIM($C72)&amp;IF($K72="","","("&amp;$K72&amp;")")&amp;"', "&amp;REPT(" ",60-LENB(TRIM($C72)&amp;IF($K72="","","("&amp;$K72&amp;")")))&amp;" 'schema', 'dbo', N'table', '"&amp;TRIM($C$3)&amp;"', 'column', '"&amp;TRIM($B72)&amp;"';"&amp;REPT(" ",20-LENB(TRIM($B72)))&amp;"-- 컬럼")</f>
        <v>-- 66,</v>
      </c>
    </row>
    <row r="189" spans="12:13">
      <c r="L189" s="24"/>
      <c r="M189" s="24" t="str">
        <f t="shared" si="6"/>
        <v>-- 67,</v>
      </c>
    </row>
    <row r="190" spans="12:13">
      <c r="L190" s="24"/>
      <c r="M190" s="24" t="str">
        <f t="shared" si="6"/>
        <v>-- 68,</v>
      </c>
    </row>
    <row r="191" spans="12:13">
      <c r="L191" s="24"/>
      <c r="M191" s="24" t="str">
        <f t="shared" si="6"/>
        <v>-- 69,</v>
      </c>
    </row>
    <row r="192" spans="12:13">
      <c r="L192" s="24"/>
      <c r="M192" s="24" t="str">
        <f t="shared" si="6"/>
        <v>-- 70,</v>
      </c>
    </row>
    <row r="193" spans="12:13">
      <c r="L193" s="24"/>
      <c r="M193" s="24" t="str">
        <f t="shared" si="6"/>
        <v>-- 71,</v>
      </c>
    </row>
    <row r="194" spans="12:13">
      <c r="L194" s="24"/>
      <c r="M194" s="24" t="str">
        <f t="shared" si="6"/>
        <v>-- 72,</v>
      </c>
    </row>
    <row r="195" spans="12:13">
      <c r="L195" s="24"/>
      <c r="M195" s="24" t="str">
        <f t="shared" si="6"/>
        <v>-- 73,</v>
      </c>
    </row>
    <row r="196" spans="12:13">
      <c r="L196" s="24"/>
      <c r="M196" s="24" t="str">
        <f t="shared" si="6"/>
        <v>-- 74,</v>
      </c>
    </row>
    <row r="197" spans="12:13">
      <c r="L197" s="24"/>
      <c r="M197" s="24" t="str">
        <f t="shared" si="6"/>
        <v>-- 75,</v>
      </c>
    </row>
    <row r="198" spans="12:13">
      <c r="L198" s="24"/>
      <c r="M198" s="24" t="str">
        <f t="shared" si="6"/>
        <v>-- 76,</v>
      </c>
    </row>
    <row r="199" spans="12:13">
      <c r="L199" s="24"/>
      <c r="M199" s="24" t="str">
        <f t="shared" si="6"/>
        <v>-- 77,</v>
      </c>
    </row>
    <row r="200" spans="12:13">
      <c r="L200" s="24"/>
      <c r="M200" s="24" t="str">
        <f t="shared" si="6"/>
        <v>-- 78,</v>
      </c>
    </row>
    <row r="201" spans="12:13">
      <c r="L201" s="24"/>
      <c r="M201" s="24" t="str">
        <f t="shared" si="6"/>
        <v>-- 79,</v>
      </c>
    </row>
    <row r="202" spans="12:13">
      <c r="L202" s="24"/>
      <c r="M202" s="24" t="str">
        <f t="shared" si="6"/>
        <v>-- 80,</v>
      </c>
    </row>
    <row r="203" spans="12:13">
      <c r="L203" s="24"/>
      <c r="M203" s="24" t="str">
        <f t="shared" si="6"/>
        <v>-- 81,</v>
      </c>
    </row>
    <row r="204" spans="12:13">
      <c r="L204" s="24"/>
      <c r="M204" s="24" t="str">
        <f t="shared" si="6"/>
        <v>-- 82,</v>
      </c>
    </row>
    <row r="205" spans="12:13">
      <c r="L205" s="24"/>
      <c r="M205" s="24" t="str">
        <f t="shared" si="6"/>
        <v>-- 83,</v>
      </c>
    </row>
    <row r="206" spans="12:13">
      <c r="L206" s="24"/>
      <c r="M206" s="24" t="str">
        <f t="shared" si="6"/>
        <v>-- 84,</v>
      </c>
    </row>
    <row r="207" spans="12:13">
      <c r="L207" s="24"/>
      <c r="M207" s="24" t="str">
        <f t="shared" si="6"/>
        <v>-- 85,</v>
      </c>
    </row>
    <row r="208" spans="12:13">
      <c r="L208" s="24"/>
      <c r="M208" s="24" t="str">
        <f t="shared" si="6"/>
        <v>-- 86,</v>
      </c>
    </row>
    <row r="209" spans="12:13">
      <c r="L209" s="24"/>
      <c r="M209" s="24" t="str">
        <f t="shared" si="6"/>
        <v>-- 87,</v>
      </c>
    </row>
    <row r="210" spans="12:13">
      <c r="L210" s="24"/>
      <c r="M210" s="24" t="str">
        <f t="shared" si="6"/>
        <v>-- 88,</v>
      </c>
    </row>
    <row r="211" spans="12:13">
      <c r="L211" s="24"/>
      <c r="M211" s="24" t="str">
        <f t="shared" si="6"/>
        <v>-- 89,</v>
      </c>
    </row>
    <row r="212" spans="12:13">
      <c r="L212" s="24"/>
      <c r="M212" s="24" t="str">
        <f t="shared" si="6"/>
        <v>-- 90,</v>
      </c>
    </row>
    <row r="213" spans="12:13">
      <c r="L213" s="24"/>
      <c r="M213" s="24" t="str">
        <f t="shared" si="6"/>
        <v>-- 91,</v>
      </c>
    </row>
    <row r="214" spans="12:13">
      <c r="L214" s="24"/>
      <c r="M214" s="24" t="str">
        <f t="shared" si="6"/>
        <v>-- 92,</v>
      </c>
    </row>
    <row r="215" spans="12:13">
      <c r="L215" s="24"/>
      <c r="M215" s="24" t="str">
        <f t="shared" si="6"/>
        <v>-- 93,</v>
      </c>
    </row>
    <row r="216" spans="12:13">
      <c r="L216" s="24"/>
      <c r="M216" s="24" t="str">
        <f t="shared" si="6"/>
        <v>-- 94,</v>
      </c>
    </row>
    <row r="217" spans="12:13">
      <c r="L217" s="24"/>
      <c r="M217" s="24" t="str">
        <f t="shared" si="6"/>
        <v>-- 95,</v>
      </c>
    </row>
    <row r="218" spans="12:13">
      <c r="L218" s="24"/>
      <c r="M218" s="24" t="str">
        <f t="shared" si="6"/>
        <v>-- 96,</v>
      </c>
    </row>
    <row r="219" spans="12:13">
      <c r="L219" s="24"/>
      <c r="M219" s="24" t="str">
        <f t="shared" si="6"/>
        <v>-- 97,</v>
      </c>
    </row>
    <row r="220" spans="12:13">
      <c r="L220" s="24"/>
      <c r="M220" s="24" t="str">
        <f t="shared" si="6"/>
        <v>-- 98,</v>
      </c>
    </row>
    <row r="221" spans="12:13">
      <c r="L221" s="24"/>
      <c r="M221" s="24" t="str">
        <f t="shared" si="6"/>
        <v>-- 99,</v>
      </c>
    </row>
    <row r="222" spans="12:13">
      <c r="L222" s="24"/>
      <c r="M222" s="24" t="str">
        <f t="shared" si="6"/>
        <v>-- 100,</v>
      </c>
    </row>
    <row r="223" spans="12:13">
      <c r="L223" s="24"/>
      <c r="M223" s="24"/>
    </row>
    <row r="224" spans="12:13">
      <c r="L224" s="24"/>
      <c r="M224" s="18" t="s">
        <v>651</v>
      </c>
    </row>
    <row r="225" spans="12:13">
      <c r="L225" s="24"/>
      <c r="M225" s="24" t="str">
        <f>REPT(" ",6)&amp;IF(ISBLANK($B7),"--"&amp;$A7,
LEFT(SUBSTITUTE($B7," ","*")&amp;
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storeNumber                   VARCHAR(256)                                                ,</v>
      </c>
    </row>
    <row r="226" spans="12:13">
      <c r="L226" s="24"/>
      <c r="M226" s="24" t="str">
        <f>IF(TRIM($B110)="","-- "&amp;$A110&amp;",",IF(LEFT($B110,2)="--","-- "&amp;$A110&amp;",","")&amp;"EXEC sp_addextendedproperty 'MS_Description', '"&amp;TRIM($C110)&amp;IF($K110="","","("&amp;$K110&amp;")")&amp;"', "&amp;REPT(" ",60-LENB(TRIM($C110)&amp;IF($K110="","","("&amp;$K110&amp;")")))&amp;" 'schema', 'dbo', N'table', '"&amp;TRIM($C$3)&amp;"', 'column', '"&amp;TRIM($B110)&amp;"';"&amp;REPT(" ",20-LENB(TRIM($B110)))&amp;"-- 컬럼")</f>
        <v>-- ,</v>
      </c>
    </row>
    <row r="227" spans="12:13">
      <c r="L227" s="24"/>
      <c r="M227" s="24" t="str">
        <f t="shared" ref="M227:M290" si="7">IF(TRIM($B111)="","-- "&amp;$A111&amp;",",IF(LEFT($B111,2)="--","-- "&amp;$A111&amp;",","")&amp;"EXEC sp_addextendedproperty 'MS_Description', '"&amp;TRIM($C111)&amp;IF($K111="","","("&amp;$K111&amp;")")&amp;"', "&amp;REPT(" ",60-LENB(TRIM($C111)&amp;IF($K111="","","("&amp;$K111&amp;")")))&amp;" 'schema', 'dbo', N'table', '"&amp;TRIM($C$3)&amp;"', 'column', '"&amp;TRIM($B111)&amp;"';"&amp;REPT(" ",20-LENB(TRIM($B111)))&amp;"-- 컬럼")</f>
        <v>-- ,</v>
      </c>
    </row>
    <row r="228" spans="12:13">
      <c r="L228" s="24"/>
      <c r="M228" s="24" t="str">
        <f t="shared" si="7"/>
        <v>-- ,</v>
      </c>
    </row>
    <row r="229" spans="12:13">
      <c r="L229" s="24"/>
      <c r="M229" s="24" t="str">
        <f t="shared" si="7"/>
        <v>-- ,</v>
      </c>
    </row>
    <row r="230" spans="12:13">
      <c r="L230" s="24"/>
      <c r="M230" s="24" t="str">
        <f t="shared" si="7"/>
        <v>-- ,</v>
      </c>
    </row>
    <row r="231" spans="12:13">
      <c r="L231" s="24"/>
      <c r="M231" s="24" t="str">
        <f t="shared" si="7"/>
        <v>-- ,</v>
      </c>
    </row>
    <row r="232" spans="12:13">
      <c r="L232" s="24"/>
      <c r="M232" s="24" t="str">
        <f t="shared" si="7"/>
        <v>-- ,</v>
      </c>
    </row>
    <row r="233" spans="12:13">
      <c r="L233" s="24"/>
      <c r="M233" s="24" t="str">
        <f t="shared" si="7"/>
        <v>-- ,</v>
      </c>
    </row>
    <row r="234" spans="12:13">
      <c r="L234" s="24"/>
      <c r="M234" s="24" t="str">
        <f t="shared" si="7"/>
        <v>-- ,</v>
      </c>
    </row>
    <row r="235" spans="12:13">
      <c r="L235" s="24"/>
      <c r="M235" s="24" t="str">
        <f t="shared" si="7"/>
        <v>EXEC sp_addextendedproperty 'MS_Description', '',                                                              'schema', 'dbo', N'table', 'SalesArea', 'column', '*초기데이터';         -- 컬럼</v>
      </c>
    </row>
    <row r="236" spans="12:13">
      <c r="L236" s="24"/>
      <c r="M236" s="24" t="str">
        <f t="shared" si="7"/>
        <v>-- ,</v>
      </c>
    </row>
    <row r="237" spans="12:13">
      <c r="L237" s="24"/>
      <c r="M237" s="24" t="str">
        <f t="shared" si="7"/>
        <v>-- ,</v>
      </c>
    </row>
    <row r="238" spans="12:13">
      <c r="L238" s="24"/>
      <c r="M238" s="24" t="str">
        <f t="shared" si="7"/>
        <v>-- ,</v>
      </c>
    </row>
    <row r="239" spans="12:13">
      <c r="L239" s="24"/>
      <c r="M239" s="24" t="str">
        <f t="shared" si="7"/>
        <v>-- ,</v>
      </c>
    </row>
    <row r="240" spans="12:13">
      <c r="L240" s="24"/>
      <c r="M240" s="24" t="str">
        <f t="shared" si="7"/>
        <v>-- ,</v>
      </c>
    </row>
    <row r="241" spans="12:13">
      <c r="L241" s="24"/>
      <c r="M241" s="24" t="str">
        <f t="shared" si="7"/>
        <v>-- ,</v>
      </c>
    </row>
    <row r="242" spans="12:13">
      <c r="L242" s="24"/>
      <c r="M242" s="24" t="str">
        <f t="shared" si="7"/>
        <v>-- ,</v>
      </c>
    </row>
    <row r="243" spans="12:13">
      <c r="L243" s="24"/>
      <c r="M243" s="24" t="str">
        <f t="shared" si="7"/>
        <v>-- ,</v>
      </c>
    </row>
    <row r="244" spans="12:13">
      <c r="L244" s="24"/>
      <c r="M244" s="24" t="str">
        <f t="shared" si="7"/>
        <v>-- ,</v>
      </c>
    </row>
    <row r="245" spans="12:13">
      <c r="L245" s="24"/>
      <c r="M245" s="24" t="str">
        <f t="shared" si="7"/>
        <v>-- ,</v>
      </c>
    </row>
    <row r="246" spans="12:13">
      <c r="L246" s="24"/>
      <c r="M246" s="24" t="str">
        <f t="shared" si="7"/>
        <v>-- ,</v>
      </c>
    </row>
    <row r="247" spans="12:13">
      <c r="L247" s="24"/>
      <c r="M247" s="24" t="str">
        <f t="shared" si="7"/>
        <v>-- ,</v>
      </c>
    </row>
    <row r="248" spans="12:13">
      <c r="L248" s="24"/>
      <c r="M248" s="24" t="str">
        <f t="shared" si="7"/>
        <v>-- ,</v>
      </c>
    </row>
    <row r="249" spans="12:13">
      <c r="L249" s="24"/>
      <c r="M249" s="24" t="str">
        <f t="shared" si="7"/>
        <v>-- ,</v>
      </c>
    </row>
    <row r="250" spans="12:13">
      <c r="L250" s="24"/>
      <c r="M250" s="24" t="str">
        <f t="shared" si="7"/>
        <v>-- ,</v>
      </c>
    </row>
    <row r="251" spans="12:13">
      <c r="L251" s="24"/>
      <c r="M251" s="24" t="str">
        <f t="shared" si="7"/>
        <v>-- ,</v>
      </c>
    </row>
    <row r="252" spans="12:13">
      <c r="L252" s="24"/>
      <c r="M252" s="24" t="str">
        <f t="shared" si="7"/>
        <v>-- ,</v>
      </c>
    </row>
    <row r="253" spans="12:13">
      <c r="L253" s="24"/>
      <c r="M253" s="24" t="str">
        <f t="shared" si="7"/>
        <v>-- ,</v>
      </c>
    </row>
    <row r="254" spans="12:13">
      <c r="L254" s="24"/>
      <c r="M254" s="24" t="str">
        <f t="shared" si="7"/>
        <v>-- ,</v>
      </c>
    </row>
    <row r="255" spans="12:13">
      <c r="L255" s="24"/>
      <c r="M255" s="24" t="str">
        <f t="shared" si="7"/>
        <v>-- ,</v>
      </c>
    </row>
    <row r="256" spans="12:13">
      <c r="L256" s="24"/>
      <c r="M256" s="24" t="str">
        <f t="shared" si="7"/>
        <v>-- ,</v>
      </c>
    </row>
    <row r="257" spans="12:13">
      <c r="L257" s="24"/>
      <c r="M257" s="24" t="str">
        <f t="shared" si="7"/>
        <v>-- ,</v>
      </c>
    </row>
    <row r="258" spans="12:13">
      <c r="L258" s="24"/>
      <c r="M258" s="24" t="str">
        <f t="shared" si="7"/>
        <v>-- ,</v>
      </c>
    </row>
    <row r="259" spans="12:13">
      <c r="L259" s="24"/>
      <c r="M259" s="24" t="str">
        <f t="shared" si="7"/>
        <v>-- ,</v>
      </c>
    </row>
    <row r="260" spans="12:13">
      <c r="L260" s="24"/>
      <c r="M260" s="24" t="str">
        <f t="shared" si="7"/>
        <v>-- ,</v>
      </c>
    </row>
    <row r="261" spans="12:13">
      <c r="L261" s="24"/>
      <c r="M261" s="24" t="str">
        <f t="shared" si="7"/>
        <v>-- ,</v>
      </c>
    </row>
    <row r="262" spans="12:13">
      <c r="L262" s="24"/>
      <c r="M262" s="24" t="str">
        <f t="shared" si="7"/>
        <v>-- ,</v>
      </c>
    </row>
    <row r="263" spans="12:13">
      <c r="L263" s="24"/>
      <c r="M263" s="24" t="str">
        <f t="shared" si="7"/>
        <v>-- ,</v>
      </c>
    </row>
    <row r="264" spans="12:13">
      <c r="L264" s="24"/>
      <c r="M264" s="24" t="str">
        <f t="shared" si="7"/>
        <v>-- ,</v>
      </c>
    </row>
    <row r="265" spans="12:13">
      <c r="L265" s="24"/>
      <c r="M265" s="24" t="str">
        <f t="shared" si="7"/>
        <v>-- ,</v>
      </c>
    </row>
    <row r="266" spans="12:13">
      <c r="L266" s="24"/>
      <c r="M266" s="24" t="str">
        <f t="shared" si="7"/>
        <v>-- ,</v>
      </c>
    </row>
    <row r="267" spans="12:13">
      <c r="L267" s="24"/>
      <c r="M267" s="24" t="str">
        <f t="shared" si="7"/>
        <v>-- ,</v>
      </c>
    </row>
    <row r="268" spans="12:13">
      <c r="L268" s="24"/>
      <c r="M268" s="24" t="str">
        <f t="shared" si="7"/>
        <v>-- ,</v>
      </c>
    </row>
    <row r="269" spans="12:13">
      <c r="L269" s="24"/>
      <c r="M269" s="24" t="str">
        <f t="shared" si="7"/>
        <v>-- ,</v>
      </c>
    </row>
    <row r="270" spans="12:13">
      <c r="L270" s="24"/>
      <c r="M270" s="24" t="str">
        <f t="shared" si="7"/>
        <v>-- ,</v>
      </c>
    </row>
    <row r="271" spans="12:13">
      <c r="L271" s="24"/>
      <c r="M271" s="24" t="str">
        <f t="shared" si="7"/>
        <v>-- ,</v>
      </c>
    </row>
    <row r="272" spans="12:13">
      <c r="L272" s="24"/>
      <c r="M272" s="24" t="str">
        <f t="shared" si="7"/>
        <v>-- ,</v>
      </c>
    </row>
    <row r="273" spans="12:13">
      <c r="L273" s="24"/>
      <c r="M273" s="24" t="str">
        <f t="shared" si="7"/>
        <v>-- ,</v>
      </c>
    </row>
    <row r="274" spans="12:13">
      <c r="L274" s="24"/>
      <c r="M274" s="24" t="str">
        <f t="shared" si="7"/>
        <v>-- ,</v>
      </c>
    </row>
    <row r="275" spans="12:13">
      <c r="L275" s="24"/>
      <c r="M275" s="24" t="str">
        <f t="shared" si="7"/>
        <v>-- ,</v>
      </c>
    </row>
    <row r="276" spans="12:13">
      <c r="L276" s="24"/>
      <c r="M276" s="24" t="str">
        <f t="shared" si="7"/>
        <v>-- ,</v>
      </c>
    </row>
    <row r="277" spans="12:13">
      <c r="L277" s="24"/>
      <c r="M277" s="24" t="str">
        <f t="shared" si="7"/>
        <v>-- ,</v>
      </c>
    </row>
    <row r="278" spans="12:13">
      <c r="L278" s="24"/>
      <c r="M278" s="24" t="str">
        <f t="shared" si="7"/>
        <v>-- ,</v>
      </c>
    </row>
    <row r="279" spans="12:13">
      <c r="L279" s="24"/>
      <c r="M279" s="24" t="str">
        <f t="shared" si="7"/>
        <v>-- ,</v>
      </c>
    </row>
    <row r="280" spans="12:13">
      <c r="L280" s="24"/>
      <c r="M280" s="24" t="str">
        <f t="shared" si="7"/>
        <v>-- ,</v>
      </c>
    </row>
    <row r="281" spans="12:13">
      <c r="L281" s="24"/>
      <c r="M281" s="24" t="str">
        <f t="shared" si="7"/>
        <v>-- ,</v>
      </c>
    </row>
    <row r="282" spans="12:13">
      <c r="L282" s="24"/>
      <c r="M282" s="24" t="str">
        <f t="shared" si="7"/>
        <v>-- ,</v>
      </c>
    </row>
    <row r="283" spans="12:13">
      <c r="L283" s="24"/>
      <c r="M283" s="24" t="str">
        <f t="shared" si="7"/>
        <v>-- ,</v>
      </c>
    </row>
    <row r="284" spans="12:13">
      <c r="L284" s="24"/>
      <c r="M284" s="24" t="str">
        <f t="shared" si="7"/>
        <v>-- ,</v>
      </c>
    </row>
    <row r="285" spans="12:13">
      <c r="L285" s="24"/>
      <c r="M285" s="24" t="str">
        <f t="shared" si="7"/>
        <v>-- ,</v>
      </c>
    </row>
    <row r="286" spans="12:13">
      <c r="L286" s="24"/>
      <c r="M286" s="24" t="str">
        <f t="shared" si="7"/>
        <v>-- ,</v>
      </c>
    </row>
    <row r="287" spans="12:13">
      <c r="L287" s="24"/>
      <c r="M287" s="24" t="str">
        <f t="shared" si="7"/>
        <v>-- ,</v>
      </c>
    </row>
    <row r="288" spans="12:13">
      <c r="L288" s="24"/>
      <c r="M288" s="24" t="str">
        <f t="shared" si="7"/>
        <v>-- ,</v>
      </c>
    </row>
    <row r="289" spans="12:13">
      <c r="L289" s="24"/>
      <c r="M289" s="24" t="str">
        <f t="shared" si="7"/>
        <v>-- ,</v>
      </c>
    </row>
    <row r="290" spans="12:13">
      <c r="L290" s="24"/>
      <c r="M290" s="24" t="str">
        <f t="shared" si="7"/>
        <v>-- ,</v>
      </c>
    </row>
    <row r="291" spans="12:13">
      <c r="L291" s="24"/>
      <c r="M291" s="24" t="str">
        <f t="shared" ref="M291:M324" si="8">IF(TRIM($B175)="","-- "&amp;$A175&amp;",",IF(LEFT($B175,2)="--","-- "&amp;$A175&amp;",","")&amp;"EXEC sp_addextendedproperty 'MS_Description', '"&amp;TRIM($C175)&amp;IF($K175="","","("&amp;$K175&amp;")")&amp;"', "&amp;REPT(" ",60-LENB(TRIM($C175)&amp;IF($K175="","","("&amp;$K175&amp;")")))&amp;" 'schema', 'dbo', N'table', '"&amp;TRIM($C$3)&amp;"', 'column', '"&amp;TRIM($B175)&amp;"';"&amp;REPT(" ",20-LENB(TRIM($B175)))&amp;"-- 컬럼")</f>
        <v>-- ,</v>
      </c>
    </row>
    <row r="292" spans="12:13">
      <c r="L292" s="24"/>
      <c r="M292" s="24" t="str">
        <f t="shared" si="8"/>
        <v>-- ,</v>
      </c>
    </row>
    <row r="293" spans="12:13">
      <c r="L293" s="24"/>
      <c r="M293" s="24" t="str">
        <f t="shared" si="8"/>
        <v>-- ,</v>
      </c>
    </row>
    <row r="294" spans="12:13">
      <c r="L294" s="24"/>
      <c r="M294" s="24" t="str">
        <f t="shared" si="8"/>
        <v>-- ,</v>
      </c>
    </row>
    <row r="295" spans="12:13">
      <c r="L295" s="24"/>
      <c r="M295" s="24" t="str">
        <f t="shared" si="8"/>
        <v>-- ,</v>
      </c>
    </row>
    <row r="296" spans="12:13">
      <c r="L296" s="24"/>
      <c r="M296" s="24" t="str">
        <f t="shared" si="8"/>
        <v>-- ,</v>
      </c>
    </row>
    <row r="297" spans="12:13">
      <c r="L297" s="24"/>
      <c r="M297" s="24" t="str">
        <f t="shared" si="8"/>
        <v>-- ,</v>
      </c>
    </row>
    <row r="298" spans="12:13">
      <c r="L298" s="24"/>
      <c r="M298" s="24" t="str">
        <f t="shared" si="8"/>
        <v>-- ,</v>
      </c>
    </row>
    <row r="299" spans="12:13">
      <c r="L299" s="24"/>
      <c r="M299" s="24" t="str">
        <f t="shared" si="8"/>
        <v>-- ,</v>
      </c>
    </row>
    <row r="300" spans="12:13">
      <c r="L300" s="24"/>
      <c r="M300" s="24" t="str">
        <f t="shared" si="8"/>
        <v>-- ,</v>
      </c>
    </row>
    <row r="301" spans="12:13">
      <c r="L301" s="24"/>
      <c r="M301" s="24" t="str">
        <f t="shared" si="8"/>
        <v>-- ,</v>
      </c>
    </row>
    <row r="302" spans="12:13">
      <c r="L302" s="24"/>
      <c r="M302" s="24" t="str">
        <f t="shared" si="8"/>
        <v>-- ,</v>
      </c>
    </row>
    <row r="303" spans="12:13">
      <c r="L303" s="24"/>
      <c r="M303" s="24" t="str">
        <f t="shared" si="8"/>
        <v>-- ,</v>
      </c>
    </row>
    <row r="304" spans="12:13">
      <c r="L304" s="24"/>
      <c r="M304" s="24" t="str">
        <f t="shared" si="8"/>
        <v>-- ,</v>
      </c>
    </row>
    <row r="305" spans="12:13">
      <c r="L305" s="24"/>
      <c r="M305" s="24" t="str">
        <f t="shared" si="8"/>
        <v>-- ,</v>
      </c>
    </row>
    <row r="306" spans="12:13">
      <c r="L306" s="24"/>
      <c r="M306" s="24" t="str">
        <f t="shared" si="8"/>
        <v>-- ,</v>
      </c>
    </row>
    <row r="307" spans="12:13">
      <c r="L307" s="24"/>
      <c r="M307" s="24" t="str">
        <f t="shared" si="8"/>
        <v>-- ,</v>
      </c>
    </row>
    <row r="308" spans="12:13">
      <c r="L308" s="24"/>
      <c r="M308" s="24" t="str">
        <f t="shared" si="8"/>
        <v>-- ,</v>
      </c>
    </row>
    <row r="309" spans="12:13">
      <c r="L309" s="24"/>
      <c r="M309" s="24" t="str">
        <f t="shared" si="8"/>
        <v>-- ,</v>
      </c>
    </row>
    <row r="310" spans="12:13">
      <c r="L310" s="24"/>
      <c r="M310" s="24" t="str">
        <f t="shared" si="8"/>
        <v>-- ,</v>
      </c>
    </row>
    <row r="311" spans="12:13">
      <c r="L311" s="24"/>
      <c r="M311" s="24" t="str">
        <f t="shared" si="8"/>
        <v>-- ,</v>
      </c>
    </row>
    <row r="312" spans="12:13">
      <c r="L312" s="24"/>
      <c r="M312" s="24" t="str">
        <f t="shared" si="8"/>
        <v>-- ,</v>
      </c>
    </row>
    <row r="313" spans="12:13">
      <c r="L313" s="24"/>
      <c r="M313" s="24" t="str">
        <f t="shared" si="8"/>
        <v>-- ,</v>
      </c>
    </row>
    <row r="314" spans="12:13">
      <c r="L314" s="24"/>
      <c r="M314" s="24" t="str">
        <f t="shared" si="8"/>
        <v>-- ,</v>
      </c>
    </row>
    <row r="315" spans="12:13">
      <c r="L315" s="24"/>
      <c r="M315" s="24" t="str">
        <f t="shared" si="8"/>
        <v>-- ,</v>
      </c>
    </row>
    <row r="316" spans="12:13">
      <c r="L316" s="24"/>
      <c r="M316" s="24" t="str">
        <f t="shared" si="8"/>
        <v>-- ,</v>
      </c>
    </row>
    <row r="317" spans="12:13">
      <c r="L317" s="24"/>
      <c r="M317" s="24" t="str">
        <f t="shared" si="8"/>
        <v>-- ,</v>
      </c>
    </row>
    <row r="318" spans="12:13">
      <c r="L318" s="24"/>
      <c r="M318" s="24" t="str">
        <f t="shared" si="8"/>
        <v>-- ,</v>
      </c>
    </row>
    <row r="319" spans="12:13">
      <c r="L319" s="24"/>
      <c r="M319" s="24" t="str">
        <f t="shared" si="8"/>
        <v>-- ,</v>
      </c>
    </row>
    <row r="320" spans="12:13">
      <c r="L320" s="24"/>
      <c r="M320" s="24" t="str">
        <f t="shared" si="8"/>
        <v>-- ,</v>
      </c>
    </row>
    <row r="321" spans="12:13">
      <c r="L321" s="24"/>
      <c r="M321" s="24" t="str">
        <f t="shared" si="8"/>
        <v>-- ,</v>
      </c>
    </row>
    <row r="322" spans="12:13">
      <c r="L322" s="24"/>
      <c r="M322" s="24" t="str">
        <f t="shared" si="8"/>
        <v>-- ,</v>
      </c>
    </row>
    <row r="323" spans="12:13">
      <c r="L323" s="24"/>
      <c r="M323" s="24" t="str">
        <f t="shared" si="8"/>
        <v>-- ,</v>
      </c>
    </row>
    <row r="324" spans="12:13">
      <c r="L324" s="24"/>
      <c r="M324" s="24" t="str">
        <f t="shared" si="8"/>
        <v>-- ,</v>
      </c>
    </row>
    <row r="325" spans="12:13">
      <c r="L325" s="24"/>
      <c r="M325" s="20" t="s">
        <v>652</v>
      </c>
    </row>
    <row r="326" spans="12:13">
      <c r="M326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'판매지역',                                                      'schema', 'dbo', 'table', 'SalesArea';              -- 테이블</v>
      </c>
    </row>
    <row r="328" spans="12:13">
      <c r="M328" s="20" t="s">
        <v>653</v>
      </c>
    </row>
    <row r="329" spans="12:13">
      <c r="M329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'판매지역',                                                      'schema', 'dbo', 'table', 'SalesArea';              -- 테이블</v>
      </c>
    </row>
    <row r="330" spans="12:13">
      <c r="M330" s="24" t="str">
        <f>IF(TRIM($B214)="","-- "&amp;$A214&amp;",",IF(LEFT($B214,2)="--","-- "&amp;$A214&amp;",","")&amp;"EXEC sp_addextendedproperty 'MS_Description', '"&amp;TRIM($C214)&amp;IF($K214="","","("&amp;$K214&amp;")")&amp;"', "&amp;REPT(" ",60-LENB(TRIM($C214)&amp;IF($K214="","","("&amp;$K214&amp;")")))&amp;" 'schema', 'dbo', N'table', '"&amp;TRIM($C$3)&amp;"', 'column', '"&amp;TRIM($B214)&amp;"';"&amp;REPT(" ",20-LENB(TRIM($B214)))&amp;"-- 컬럼")</f>
        <v>-- ,</v>
      </c>
    </row>
    <row r="331" spans="12:13">
      <c r="M331" s="24" t="str">
        <f t="shared" ref="M331:M394" si="9">IF(TRIM($B215)="","-- "&amp;$A215&amp;",",IF(LEFT($B215,2)="--","-- "&amp;$A215&amp;",","")&amp;"EXEC sp_addextendedproperty 'MS_Description', '"&amp;TRIM($C215)&amp;IF($K215="","","("&amp;$K215&amp;")")&amp;"', "&amp;REPT(" ",60-LENB(TRIM($C215)&amp;IF($K215="","","("&amp;$K215&amp;")")))&amp;" 'schema', 'dbo', N'table', '"&amp;TRIM($C$3)&amp;"', 'column', '"&amp;TRIM($B215)&amp;"';"&amp;REPT(" ",20-LENB(TRIM($B215)))&amp;"-- 컬럼")</f>
        <v>-- ,</v>
      </c>
    </row>
    <row r="332" spans="12:13">
      <c r="M332" s="24" t="str">
        <f t="shared" si="9"/>
        <v>-- ,</v>
      </c>
    </row>
    <row r="333" spans="12:13">
      <c r="M333" s="24" t="str">
        <f t="shared" si="9"/>
        <v>-- ,</v>
      </c>
    </row>
    <row r="334" spans="12:13">
      <c r="M334" s="24" t="str">
        <f t="shared" si="9"/>
        <v>-- ,</v>
      </c>
    </row>
    <row r="335" spans="12:13">
      <c r="M335" s="24" t="str">
        <f t="shared" si="9"/>
        <v>-- ,</v>
      </c>
    </row>
    <row r="336" spans="12:13">
      <c r="M336" s="24" t="str">
        <f t="shared" si="9"/>
        <v>-- ,</v>
      </c>
    </row>
    <row r="337" spans="13:13">
      <c r="M337" s="24" t="str">
        <f t="shared" si="9"/>
        <v>-- ,</v>
      </c>
    </row>
    <row r="338" spans="13:13">
      <c r="M338" s="24" t="str">
        <f t="shared" si="9"/>
        <v>-- ,</v>
      </c>
    </row>
    <row r="339" spans="13:13">
      <c r="M339" s="24" t="str">
        <f t="shared" si="9"/>
        <v>-- ,</v>
      </c>
    </row>
    <row r="340" spans="13:13">
      <c r="M340" s="24" t="str">
        <f t="shared" si="9"/>
        <v>-- ,</v>
      </c>
    </row>
    <row r="341" spans="13:13">
      <c r="M341" s="24" t="str">
        <f t="shared" si="9"/>
        <v>-- ,</v>
      </c>
    </row>
    <row r="342" spans="13:13">
      <c r="M342" s="24" t="str">
        <f t="shared" si="9"/>
        <v>-- ,</v>
      </c>
    </row>
    <row r="343" spans="13:13">
      <c r="M343" s="24" t="str">
        <f t="shared" si="9"/>
        <v>-- ,</v>
      </c>
    </row>
    <row r="344" spans="13:13">
      <c r="M344" s="24" t="str">
        <f t="shared" si="9"/>
        <v>-- ,</v>
      </c>
    </row>
    <row r="345" spans="13:13">
      <c r="M345" s="24" t="str">
        <f t="shared" si="9"/>
        <v>-- ,</v>
      </c>
    </row>
    <row r="346" spans="13:13">
      <c r="M346" s="24" t="str">
        <f t="shared" si="9"/>
        <v>-- ,</v>
      </c>
    </row>
    <row r="347" spans="13:13">
      <c r="M347" s="24" t="str">
        <f t="shared" si="9"/>
        <v>-- ,</v>
      </c>
    </row>
    <row r="348" spans="13:13">
      <c r="M348" s="24" t="str">
        <f t="shared" si="9"/>
        <v>-- ,</v>
      </c>
    </row>
    <row r="349" spans="13:13">
      <c r="M349" s="24" t="str">
        <f t="shared" si="9"/>
        <v>-- ,</v>
      </c>
    </row>
    <row r="350" spans="13:13">
      <c r="M350" s="24" t="str">
        <f t="shared" si="9"/>
        <v>-- ,</v>
      </c>
    </row>
    <row r="351" spans="13:13">
      <c r="M351" s="24" t="str">
        <f t="shared" si="9"/>
        <v>-- ,</v>
      </c>
    </row>
    <row r="352" spans="13:13">
      <c r="M352" s="24" t="str">
        <f t="shared" si="9"/>
        <v>-- ,</v>
      </c>
    </row>
    <row r="353" spans="13:13">
      <c r="M353" s="24" t="str">
        <f t="shared" si="9"/>
        <v>-- ,</v>
      </c>
    </row>
    <row r="354" spans="13:13">
      <c r="M354" s="24" t="str">
        <f t="shared" si="9"/>
        <v>-- ,</v>
      </c>
    </row>
    <row r="355" spans="13:13">
      <c r="M355" s="24" t="str">
        <f t="shared" si="9"/>
        <v>-- ,</v>
      </c>
    </row>
    <row r="356" spans="13:13">
      <c r="M356" s="24" t="str">
        <f t="shared" si="9"/>
        <v>-- ,</v>
      </c>
    </row>
    <row r="357" spans="13:13">
      <c r="M357" s="24" t="str">
        <f t="shared" si="9"/>
        <v>-- ,</v>
      </c>
    </row>
    <row r="358" spans="13:13">
      <c r="M358" s="24" t="str">
        <f t="shared" si="9"/>
        <v>-- ,</v>
      </c>
    </row>
    <row r="359" spans="13:13">
      <c r="M359" s="24" t="str">
        <f t="shared" si="9"/>
        <v>-- ,</v>
      </c>
    </row>
    <row r="360" spans="13:13">
      <c r="M360" s="24" t="str">
        <f t="shared" si="9"/>
        <v>-- ,</v>
      </c>
    </row>
    <row r="361" spans="13:13">
      <c r="M361" s="24" t="str">
        <f t="shared" si="9"/>
        <v>-- ,</v>
      </c>
    </row>
    <row r="362" spans="13:13">
      <c r="M362" s="24" t="str">
        <f t="shared" si="9"/>
        <v>-- ,</v>
      </c>
    </row>
    <row r="363" spans="13:13">
      <c r="M363" s="24" t="str">
        <f t="shared" si="9"/>
        <v>-- ,</v>
      </c>
    </row>
    <row r="364" spans="13:13">
      <c r="M364" s="24" t="str">
        <f t="shared" si="9"/>
        <v>-- ,</v>
      </c>
    </row>
    <row r="365" spans="13:13">
      <c r="M365" s="24" t="str">
        <f t="shared" si="9"/>
        <v>-- ,</v>
      </c>
    </row>
    <row r="366" spans="13:13">
      <c r="M366" s="24" t="str">
        <f t="shared" si="9"/>
        <v>-- ,</v>
      </c>
    </row>
    <row r="367" spans="13:13">
      <c r="M367" s="24" t="str">
        <f t="shared" si="9"/>
        <v>-- ,</v>
      </c>
    </row>
    <row r="368" spans="13:13">
      <c r="M368" s="24" t="str">
        <f t="shared" si="9"/>
        <v>-- ,</v>
      </c>
    </row>
    <row r="369" spans="13:13">
      <c r="M369" s="24" t="str">
        <f t="shared" si="9"/>
        <v>-- ,</v>
      </c>
    </row>
    <row r="370" spans="13:13">
      <c r="M370" s="24" t="str">
        <f t="shared" si="9"/>
        <v>-- ,</v>
      </c>
    </row>
    <row r="371" spans="13:13">
      <c r="M371" s="24" t="str">
        <f t="shared" si="9"/>
        <v>-- ,</v>
      </c>
    </row>
    <row r="372" spans="13:13">
      <c r="M372" s="24" t="str">
        <f t="shared" si="9"/>
        <v>-- ,</v>
      </c>
    </row>
    <row r="373" spans="13:13">
      <c r="M373" s="24" t="str">
        <f t="shared" si="9"/>
        <v>-- ,</v>
      </c>
    </row>
    <row r="374" spans="13:13">
      <c r="M374" s="24" t="str">
        <f t="shared" si="9"/>
        <v>-- ,</v>
      </c>
    </row>
    <row r="375" spans="13:13">
      <c r="M375" s="24" t="str">
        <f t="shared" si="9"/>
        <v>-- ,</v>
      </c>
    </row>
    <row r="376" spans="13:13">
      <c r="M376" s="24" t="str">
        <f t="shared" si="9"/>
        <v>-- ,</v>
      </c>
    </row>
    <row r="377" spans="13:13">
      <c r="M377" s="24" t="str">
        <f t="shared" si="9"/>
        <v>-- ,</v>
      </c>
    </row>
    <row r="378" spans="13:13">
      <c r="M378" s="24" t="str">
        <f t="shared" si="9"/>
        <v>-- ,</v>
      </c>
    </row>
    <row r="379" spans="13:13">
      <c r="M379" s="24" t="str">
        <f t="shared" si="9"/>
        <v>-- ,</v>
      </c>
    </row>
    <row r="380" spans="13:13">
      <c r="M380" s="24" t="str">
        <f t="shared" si="9"/>
        <v>-- ,</v>
      </c>
    </row>
    <row r="381" spans="13:13">
      <c r="M381" s="24" t="str">
        <f t="shared" si="9"/>
        <v>-- ,</v>
      </c>
    </row>
    <row r="382" spans="13:13">
      <c r="M382" s="24" t="str">
        <f t="shared" si="9"/>
        <v>-- ,</v>
      </c>
    </row>
    <row r="383" spans="13:13">
      <c r="M383" s="24" t="str">
        <f t="shared" si="9"/>
        <v>-- ,</v>
      </c>
    </row>
    <row r="384" spans="13:13">
      <c r="M384" s="24" t="str">
        <f t="shared" si="9"/>
        <v>-- ,</v>
      </c>
    </row>
    <row r="385" spans="13:13">
      <c r="M385" s="24" t="str">
        <f t="shared" si="9"/>
        <v>-- ,</v>
      </c>
    </row>
    <row r="386" spans="13:13">
      <c r="M386" s="24" t="str">
        <f t="shared" si="9"/>
        <v>-- ,</v>
      </c>
    </row>
    <row r="387" spans="13:13">
      <c r="M387" s="24" t="str">
        <f t="shared" si="9"/>
        <v>-- ,</v>
      </c>
    </row>
    <row r="388" spans="13:13">
      <c r="M388" s="24" t="str">
        <f t="shared" si="9"/>
        <v>-- ,</v>
      </c>
    </row>
    <row r="389" spans="13:13">
      <c r="M389" s="24" t="str">
        <f t="shared" si="9"/>
        <v>-- ,</v>
      </c>
    </row>
    <row r="390" spans="13:13">
      <c r="M390" s="24" t="str">
        <f t="shared" si="9"/>
        <v>-- ,</v>
      </c>
    </row>
    <row r="391" spans="13:13">
      <c r="M391" s="24" t="str">
        <f t="shared" si="9"/>
        <v>-- ,</v>
      </c>
    </row>
    <row r="392" spans="13:13">
      <c r="M392" s="24" t="str">
        <f t="shared" si="9"/>
        <v>-- ,</v>
      </c>
    </row>
    <row r="393" spans="13:13">
      <c r="M393" s="24" t="str">
        <f t="shared" si="9"/>
        <v>-- ,</v>
      </c>
    </row>
    <row r="394" spans="13:13">
      <c r="M394" s="24" t="str">
        <f t="shared" si="9"/>
        <v>-- ,</v>
      </c>
    </row>
    <row r="395" spans="13:13">
      <c r="M395" s="24" t="str">
        <f t="shared" ref="M395:M429" si="10">IF(TRIM($B279)="","-- "&amp;$A279&amp;",",IF(LEFT($B279,2)="--","-- "&amp;$A279&amp;",","")&amp;"EXEC sp_addextendedproperty 'MS_Description', '"&amp;TRIM($C279)&amp;IF($K279="","","("&amp;$K279&amp;")")&amp;"', "&amp;REPT(" ",60-LENB(TRIM($C279)&amp;IF($K279="","","("&amp;$K279&amp;")")))&amp;" 'schema', 'dbo', N'table', '"&amp;TRIM($C$3)&amp;"', 'column', '"&amp;TRIM($B279)&amp;"';"&amp;REPT(" ",20-LENB(TRIM($B279)))&amp;"-- 컬럼")</f>
        <v>-- ,</v>
      </c>
    </row>
    <row r="396" spans="13:13">
      <c r="M396" s="24" t="str">
        <f t="shared" si="10"/>
        <v>-- ,</v>
      </c>
    </row>
    <row r="397" spans="13:13">
      <c r="M397" s="24" t="str">
        <f t="shared" si="10"/>
        <v>-- ,</v>
      </c>
    </row>
    <row r="398" spans="13:13">
      <c r="M398" s="24" t="str">
        <f t="shared" si="10"/>
        <v>-- ,</v>
      </c>
    </row>
    <row r="399" spans="13:13">
      <c r="M399" s="24" t="str">
        <f t="shared" si="10"/>
        <v>-- ,</v>
      </c>
    </row>
    <row r="400" spans="13:13">
      <c r="M400" s="24" t="str">
        <f t="shared" si="10"/>
        <v>-- ,</v>
      </c>
    </row>
    <row r="401" spans="13:13">
      <c r="M401" s="24" t="str">
        <f t="shared" si="10"/>
        <v>-- ,</v>
      </c>
    </row>
    <row r="402" spans="13:13">
      <c r="M402" s="24" t="str">
        <f t="shared" si="10"/>
        <v>-- ,</v>
      </c>
    </row>
    <row r="403" spans="13:13">
      <c r="M403" s="24" t="str">
        <f t="shared" si="10"/>
        <v>-- ,</v>
      </c>
    </row>
    <row r="404" spans="13:13">
      <c r="M404" s="24" t="str">
        <f t="shared" si="10"/>
        <v>-- ,</v>
      </c>
    </row>
    <row r="405" spans="13:13">
      <c r="M405" s="24" t="str">
        <f t="shared" si="10"/>
        <v>-- ,</v>
      </c>
    </row>
    <row r="406" spans="13:13">
      <c r="M406" s="24" t="str">
        <f t="shared" si="10"/>
        <v>-- ,</v>
      </c>
    </row>
    <row r="407" spans="13:13">
      <c r="M407" s="24" t="str">
        <f t="shared" si="10"/>
        <v>-- ,</v>
      </c>
    </row>
    <row r="408" spans="13:13">
      <c r="M408" s="24" t="str">
        <f t="shared" si="10"/>
        <v>-- ,</v>
      </c>
    </row>
    <row r="409" spans="13:13">
      <c r="M409" s="24" t="str">
        <f t="shared" si="10"/>
        <v>-- ,</v>
      </c>
    </row>
    <row r="410" spans="13:13">
      <c r="M410" s="24" t="str">
        <f t="shared" si="10"/>
        <v>-- ,</v>
      </c>
    </row>
    <row r="411" spans="13:13">
      <c r="M411" s="24" t="str">
        <f t="shared" si="10"/>
        <v>-- ,</v>
      </c>
    </row>
    <row r="412" spans="13:13">
      <c r="M412" s="24" t="str">
        <f t="shared" si="10"/>
        <v>-- ,</v>
      </c>
    </row>
    <row r="413" spans="13:13">
      <c r="M413" s="24" t="str">
        <f t="shared" si="10"/>
        <v>-- ,</v>
      </c>
    </row>
    <row r="414" spans="13:13">
      <c r="M414" s="24" t="str">
        <f t="shared" si="10"/>
        <v>-- ,</v>
      </c>
    </row>
    <row r="415" spans="13:13">
      <c r="M415" s="24" t="str">
        <f t="shared" si="10"/>
        <v>-- ,</v>
      </c>
    </row>
    <row r="416" spans="13:13">
      <c r="M416" s="24" t="str">
        <f t="shared" si="10"/>
        <v>-- ,</v>
      </c>
    </row>
    <row r="417" spans="13:13">
      <c r="M417" s="24" t="str">
        <f t="shared" si="10"/>
        <v>-- ,</v>
      </c>
    </row>
    <row r="418" spans="13:13">
      <c r="M418" s="24" t="str">
        <f t="shared" si="10"/>
        <v>-- ,</v>
      </c>
    </row>
    <row r="419" spans="13:13">
      <c r="M419" s="24" t="str">
        <f t="shared" si="10"/>
        <v>-- ,</v>
      </c>
    </row>
    <row r="420" spans="13:13">
      <c r="M420" s="24" t="str">
        <f t="shared" si="10"/>
        <v>-- ,</v>
      </c>
    </row>
    <row r="421" spans="13:13">
      <c r="M421" s="24" t="str">
        <f t="shared" si="10"/>
        <v>-- ,</v>
      </c>
    </row>
    <row r="422" spans="13:13">
      <c r="M422" s="24" t="str">
        <f t="shared" si="10"/>
        <v>-- ,</v>
      </c>
    </row>
    <row r="423" spans="13:13">
      <c r="M423" s="24" t="str">
        <f t="shared" si="10"/>
        <v>-- ,</v>
      </c>
    </row>
    <row r="424" spans="13:13">
      <c r="M424" s="24" t="str">
        <f t="shared" si="10"/>
        <v>-- ,</v>
      </c>
    </row>
    <row r="425" spans="13:13">
      <c r="M425" s="24" t="str">
        <f t="shared" si="10"/>
        <v>-- ,</v>
      </c>
    </row>
    <row r="426" spans="13:13">
      <c r="M426" s="24" t="str">
        <f t="shared" si="10"/>
        <v>-- ,</v>
      </c>
    </row>
    <row r="427" spans="13:13">
      <c r="M427" s="24" t="str">
        <f t="shared" si="10"/>
        <v>-- ,</v>
      </c>
    </row>
    <row r="428" spans="13:13">
      <c r="M428" s="24" t="str">
        <f t="shared" si="10"/>
        <v>-- ,</v>
      </c>
    </row>
    <row r="429" spans="13:13">
      <c r="M429" s="24" t="str">
        <f t="shared" si="10"/>
        <v>-- ,</v>
      </c>
    </row>
    <row r="430" spans="13:13">
      <c r="M430" s="20" t="s">
        <v>654</v>
      </c>
    </row>
    <row r="431" spans="13:13">
      <c r="M431" s="24" t="str">
        <f>IF(TRIM($B315)="","-- "&amp;$A315&amp;",",IF(LEFT($B315,2)="--","-- "&amp;$A315&amp;",","")&amp;"EXEC sp_addextendedproperty 'MS_Description', '"&amp;TRIM($C315)&amp;IF($K315="","","("&amp;$K315&amp;")")&amp;"', "&amp;REPT(" ",60-LENB(TRIM($C315)&amp;IF($K315="","","("&amp;$K315&amp;")")))&amp;" 'schema', 'dbo', N'table', '"&amp;TRIM($C$3)&amp;"', 'column', '"&amp;TRIM($B315)&amp;"';"&amp;REPT(" ",20-LENB(TRIM($B315)))&amp;"-- 컬럼")</f>
        <v>-- ,</v>
      </c>
    </row>
    <row r="432" spans="13:13">
      <c r="M432" s="24" t="str">
        <f t="shared" ref="M432:M495" si="11">IF(TRIM($B316)="","-- "&amp;$A316&amp;",",IF(LEFT($B316,2)="--","-- "&amp;$A316&amp;",","")&amp;"EXEC sp_addextendedproperty 'MS_Description', '"&amp;TRIM($C316)&amp;IF($K316="","","("&amp;$K316&amp;")")&amp;"', "&amp;REPT(" ",60-LENB(TRIM($C316)&amp;IF($K316="","","("&amp;$K316&amp;")")))&amp;" 'schema', 'dbo', N'table', '"&amp;TRIM($C$3)&amp;"', 'column', '"&amp;TRIM($B316)&amp;"';"&amp;REPT(" ",20-LENB(TRIM($B316)))&amp;"-- 컬럼")</f>
        <v>-- ,</v>
      </c>
    </row>
    <row r="433" spans="13:13">
      <c r="M433" s="24" t="str">
        <f t="shared" si="11"/>
        <v>-- ,</v>
      </c>
    </row>
    <row r="434" spans="13:13">
      <c r="M434" s="24" t="str">
        <f t="shared" si="11"/>
        <v>-- ,</v>
      </c>
    </row>
    <row r="435" spans="13:13">
      <c r="M435" s="24" t="str">
        <f t="shared" si="11"/>
        <v>-- ,</v>
      </c>
    </row>
    <row r="436" spans="13:13">
      <c r="M436" s="24" t="str">
        <f t="shared" si="11"/>
        <v>-- ,</v>
      </c>
    </row>
    <row r="437" spans="13:13">
      <c r="M437" s="24" t="str">
        <f t="shared" si="11"/>
        <v>-- ,</v>
      </c>
    </row>
    <row r="438" spans="13:13">
      <c r="M438" s="24" t="str">
        <f t="shared" si="11"/>
        <v>-- ,</v>
      </c>
    </row>
    <row r="439" spans="13:13">
      <c r="M439" s="24" t="str">
        <f t="shared" si="11"/>
        <v>-- ,</v>
      </c>
    </row>
    <row r="440" spans="13:13">
      <c r="M440" s="24" t="str">
        <f t="shared" si="11"/>
        <v>-- ,</v>
      </c>
    </row>
    <row r="441" spans="13:13">
      <c r="M441" s="24" t="str">
        <f t="shared" si="11"/>
        <v>-- ,</v>
      </c>
    </row>
    <row r="442" spans="13:13">
      <c r="M442" s="24" t="str">
        <f t="shared" si="11"/>
        <v>-- ,</v>
      </c>
    </row>
    <row r="443" spans="13:13">
      <c r="M443" s="24" t="str">
        <f t="shared" si="11"/>
        <v>-- ,</v>
      </c>
    </row>
    <row r="444" spans="13:13">
      <c r="M444" s="24" t="str">
        <f t="shared" si="11"/>
        <v>-- ,</v>
      </c>
    </row>
    <row r="445" spans="13:13">
      <c r="M445" s="24" t="str">
        <f t="shared" si="11"/>
        <v>-- ,</v>
      </c>
    </row>
    <row r="446" spans="13:13">
      <c r="M446" s="24" t="str">
        <f t="shared" si="11"/>
        <v>-- ,</v>
      </c>
    </row>
    <row r="447" spans="13:13">
      <c r="M447" s="24" t="str">
        <f t="shared" si="11"/>
        <v>-- ,</v>
      </c>
    </row>
    <row r="448" spans="13:13">
      <c r="M448" s="24" t="str">
        <f t="shared" si="11"/>
        <v>-- ,</v>
      </c>
    </row>
    <row r="449" spans="13:13">
      <c r="M449" s="24" t="str">
        <f t="shared" si="11"/>
        <v>-- ,</v>
      </c>
    </row>
    <row r="450" spans="13:13">
      <c r="M450" s="24" t="str">
        <f t="shared" si="11"/>
        <v>-- ,</v>
      </c>
    </row>
    <row r="451" spans="13:13">
      <c r="M451" s="24" t="str">
        <f t="shared" si="11"/>
        <v>-- ,</v>
      </c>
    </row>
    <row r="452" spans="13:13">
      <c r="M452" s="24" t="str">
        <f t="shared" si="11"/>
        <v>-- ,</v>
      </c>
    </row>
    <row r="453" spans="13:13">
      <c r="M453" s="24" t="str">
        <f t="shared" si="11"/>
        <v>-- ,</v>
      </c>
    </row>
    <row r="454" spans="13:13">
      <c r="M454" s="24" t="str">
        <f t="shared" si="11"/>
        <v>-- ,</v>
      </c>
    </row>
    <row r="455" spans="13:13">
      <c r="M455" s="24" t="str">
        <f t="shared" si="11"/>
        <v>-- ,</v>
      </c>
    </row>
    <row r="456" spans="13:13">
      <c r="M456" s="24" t="str">
        <f t="shared" si="11"/>
        <v>-- ,</v>
      </c>
    </row>
    <row r="457" spans="13:13">
      <c r="M457" s="24" t="str">
        <f t="shared" si="11"/>
        <v>-- ,</v>
      </c>
    </row>
    <row r="458" spans="13:13">
      <c r="M458" s="24" t="str">
        <f t="shared" si="11"/>
        <v>-- ,</v>
      </c>
    </row>
    <row r="459" spans="13:13">
      <c r="M459" s="24" t="str">
        <f t="shared" si="11"/>
        <v>-- ,</v>
      </c>
    </row>
    <row r="460" spans="13:13">
      <c r="M460" s="24" t="str">
        <f t="shared" si="11"/>
        <v>-- ,</v>
      </c>
    </row>
    <row r="461" spans="13:13">
      <c r="M461" s="24" t="str">
        <f t="shared" si="11"/>
        <v>-- ,</v>
      </c>
    </row>
    <row r="462" spans="13:13">
      <c r="M462" s="24" t="str">
        <f t="shared" si="11"/>
        <v>-- ,</v>
      </c>
    </row>
    <row r="463" spans="13:13">
      <c r="M463" s="24" t="str">
        <f t="shared" si="11"/>
        <v>-- ,</v>
      </c>
    </row>
    <row r="464" spans="13:13">
      <c r="M464" s="24" t="str">
        <f t="shared" si="11"/>
        <v>-- ,</v>
      </c>
    </row>
    <row r="465" spans="13:13">
      <c r="M465" s="24" t="str">
        <f t="shared" si="11"/>
        <v>-- ,</v>
      </c>
    </row>
    <row r="466" spans="13:13">
      <c r="M466" s="24" t="str">
        <f t="shared" si="11"/>
        <v>-- ,</v>
      </c>
    </row>
    <row r="467" spans="13:13">
      <c r="M467" s="24" t="str">
        <f t="shared" si="11"/>
        <v>-- ,</v>
      </c>
    </row>
    <row r="468" spans="13:13">
      <c r="M468" s="24" t="str">
        <f t="shared" si="11"/>
        <v>-- ,</v>
      </c>
    </row>
    <row r="469" spans="13:13">
      <c r="M469" s="24" t="str">
        <f t="shared" si="11"/>
        <v>-- ,</v>
      </c>
    </row>
    <row r="470" spans="13:13">
      <c r="M470" s="24" t="str">
        <f t="shared" si="11"/>
        <v>-- ,</v>
      </c>
    </row>
    <row r="471" spans="13:13">
      <c r="M471" s="24" t="str">
        <f t="shared" si="11"/>
        <v>-- ,</v>
      </c>
    </row>
    <row r="472" spans="13:13">
      <c r="M472" s="24" t="str">
        <f t="shared" si="11"/>
        <v>-- ,</v>
      </c>
    </row>
    <row r="473" spans="13:13">
      <c r="M473" s="24" t="str">
        <f t="shared" si="11"/>
        <v>-- ,</v>
      </c>
    </row>
    <row r="474" spans="13:13">
      <c r="M474" s="24" t="str">
        <f t="shared" si="11"/>
        <v>-- ,</v>
      </c>
    </row>
    <row r="475" spans="13:13">
      <c r="M475" s="24" t="str">
        <f t="shared" si="11"/>
        <v>-- ,</v>
      </c>
    </row>
    <row r="476" spans="13:13">
      <c r="M476" s="24" t="str">
        <f t="shared" si="11"/>
        <v>-- ,</v>
      </c>
    </row>
    <row r="477" spans="13:13">
      <c r="M477" s="24" t="str">
        <f t="shared" si="11"/>
        <v>-- ,</v>
      </c>
    </row>
    <row r="478" spans="13:13">
      <c r="M478" s="24" t="str">
        <f t="shared" si="11"/>
        <v>-- ,</v>
      </c>
    </row>
    <row r="479" spans="13:13">
      <c r="M479" s="24" t="str">
        <f t="shared" si="11"/>
        <v>-- ,</v>
      </c>
    </row>
    <row r="480" spans="13:13">
      <c r="M480" s="24" t="str">
        <f t="shared" si="11"/>
        <v>-- ,</v>
      </c>
    </row>
    <row r="481" spans="13:13">
      <c r="M481" s="24" t="str">
        <f t="shared" si="11"/>
        <v>-- ,</v>
      </c>
    </row>
    <row r="482" spans="13:13">
      <c r="M482" s="24" t="str">
        <f t="shared" si="11"/>
        <v>-- ,</v>
      </c>
    </row>
    <row r="483" spans="13:13">
      <c r="M483" s="24" t="str">
        <f t="shared" si="11"/>
        <v>-- ,</v>
      </c>
    </row>
    <row r="484" spans="13:13">
      <c r="M484" s="24" t="str">
        <f t="shared" si="11"/>
        <v>-- ,</v>
      </c>
    </row>
    <row r="485" spans="13:13">
      <c r="M485" s="24" t="str">
        <f t="shared" si="11"/>
        <v>-- ,</v>
      </c>
    </row>
    <row r="486" spans="13:13">
      <c r="M486" s="24" t="str">
        <f t="shared" si="11"/>
        <v>-- ,</v>
      </c>
    </row>
    <row r="487" spans="13:13">
      <c r="M487" s="24" t="str">
        <f t="shared" si="11"/>
        <v>-- ,</v>
      </c>
    </row>
    <row r="488" spans="13:13">
      <c r="M488" s="24" t="str">
        <f t="shared" si="11"/>
        <v>-- ,</v>
      </c>
    </row>
    <row r="489" spans="13:13">
      <c r="M489" s="24" t="str">
        <f t="shared" si="11"/>
        <v>-- ,</v>
      </c>
    </row>
    <row r="490" spans="13:13">
      <c r="M490" s="24" t="str">
        <f t="shared" si="11"/>
        <v>-- ,</v>
      </c>
    </row>
    <row r="491" spans="13:13">
      <c r="M491" s="24" t="str">
        <f t="shared" si="11"/>
        <v>-- ,</v>
      </c>
    </row>
    <row r="492" spans="13:13">
      <c r="M492" s="24" t="str">
        <f t="shared" si="11"/>
        <v>-- ,</v>
      </c>
    </row>
    <row r="493" spans="13:13">
      <c r="M493" s="24" t="str">
        <f t="shared" si="11"/>
        <v>-- ,</v>
      </c>
    </row>
    <row r="494" spans="13:13">
      <c r="M494" s="24" t="str">
        <f t="shared" si="11"/>
        <v>-- ,</v>
      </c>
    </row>
    <row r="495" spans="13:13">
      <c r="M495" s="24" t="str">
        <f t="shared" si="11"/>
        <v>-- ,</v>
      </c>
    </row>
    <row r="496" spans="13:13">
      <c r="M496" s="24" t="str">
        <f t="shared" ref="M496:M530" si="12">IF(TRIM($B380)="","-- "&amp;$A380&amp;",",IF(LEFT($B380,2)="--","-- "&amp;$A380&amp;",","")&amp;"EXEC sp_addextendedproperty 'MS_Description', '"&amp;TRIM($C380)&amp;IF($K380="","","("&amp;$K380&amp;")")&amp;"', "&amp;REPT(" ",60-LENB(TRIM($C380)&amp;IF($K380="","","("&amp;$K380&amp;")")))&amp;" 'schema', 'dbo', N'table', '"&amp;TRIM($C$3)&amp;"', 'column', '"&amp;TRIM($B380)&amp;"';"&amp;REPT(" ",20-LENB(TRIM($B380)))&amp;"-- 컬럼")</f>
        <v>-- ,</v>
      </c>
    </row>
    <row r="497" spans="13:13">
      <c r="M497" s="24" t="str">
        <f t="shared" si="12"/>
        <v>-- ,</v>
      </c>
    </row>
    <row r="498" spans="13:13">
      <c r="M498" s="24" t="str">
        <f t="shared" si="12"/>
        <v>-- ,</v>
      </c>
    </row>
    <row r="499" spans="13:13">
      <c r="M499" s="24" t="str">
        <f t="shared" si="12"/>
        <v>-- ,</v>
      </c>
    </row>
    <row r="500" spans="13:13">
      <c r="M500" s="24" t="str">
        <f t="shared" si="12"/>
        <v>-- ,</v>
      </c>
    </row>
    <row r="501" spans="13:13">
      <c r="M501" s="24" t="str">
        <f t="shared" si="12"/>
        <v>-- ,</v>
      </c>
    </row>
    <row r="502" spans="13:13">
      <c r="M502" s="24" t="str">
        <f t="shared" si="12"/>
        <v>-- ,</v>
      </c>
    </row>
    <row r="503" spans="13:13">
      <c r="M503" s="24" t="str">
        <f t="shared" si="12"/>
        <v>-- ,</v>
      </c>
    </row>
    <row r="504" spans="13:13">
      <c r="M504" s="24" t="str">
        <f t="shared" si="12"/>
        <v>-- ,</v>
      </c>
    </row>
    <row r="505" spans="13:13">
      <c r="M505" s="24" t="str">
        <f t="shared" si="12"/>
        <v>-- ,</v>
      </c>
    </row>
    <row r="506" spans="13:13">
      <c r="M506" s="24" t="str">
        <f t="shared" si="12"/>
        <v>-- ,</v>
      </c>
    </row>
    <row r="507" spans="13:13">
      <c r="M507" s="24" t="str">
        <f t="shared" si="12"/>
        <v>-- ,</v>
      </c>
    </row>
    <row r="508" spans="13:13">
      <c r="M508" s="24" t="str">
        <f t="shared" si="12"/>
        <v>-- ,</v>
      </c>
    </row>
    <row r="509" spans="13:13">
      <c r="M509" s="24" t="str">
        <f t="shared" si="12"/>
        <v>-- ,</v>
      </c>
    </row>
    <row r="510" spans="13:13">
      <c r="M510" s="24" t="str">
        <f t="shared" si="12"/>
        <v>-- ,</v>
      </c>
    </row>
    <row r="511" spans="13:13">
      <c r="M511" s="24" t="str">
        <f t="shared" si="12"/>
        <v>-- ,</v>
      </c>
    </row>
    <row r="512" spans="13:13">
      <c r="M512" s="24" t="str">
        <f t="shared" si="12"/>
        <v>-- ,</v>
      </c>
    </row>
    <row r="513" spans="13:13">
      <c r="M513" s="24" t="str">
        <f t="shared" si="12"/>
        <v>-- ,</v>
      </c>
    </row>
    <row r="514" spans="13:13">
      <c r="M514" s="24" t="str">
        <f t="shared" si="12"/>
        <v>-- ,</v>
      </c>
    </row>
    <row r="515" spans="13:13">
      <c r="M515" s="24" t="str">
        <f t="shared" si="12"/>
        <v>-- ,</v>
      </c>
    </row>
    <row r="516" spans="13:13">
      <c r="M516" s="24" t="str">
        <f t="shared" si="12"/>
        <v>-- ,</v>
      </c>
    </row>
    <row r="517" spans="13:13">
      <c r="M517" s="24" t="str">
        <f t="shared" si="12"/>
        <v>-- ,</v>
      </c>
    </row>
    <row r="518" spans="13:13">
      <c r="M518" s="24" t="str">
        <f t="shared" si="12"/>
        <v>-- ,</v>
      </c>
    </row>
    <row r="519" spans="13:13">
      <c r="M519" s="24" t="str">
        <f t="shared" si="12"/>
        <v>-- ,</v>
      </c>
    </row>
    <row r="520" spans="13:13">
      <c r="M520" s="24" t="str">
        <f t="shared" si="12"/>
        <v>-- ,</v>
      </c>
    </row>
    <row r="521" spans="13:13">
      <c r="M521" s="24" t="str">
        <f t="shared" si="12"/>
        <v>-- ,</v>
      </c>
    </row>
    <row r="522" spans="13:13">
      <c r="M522" s="24" t="str">
        <f t="shared" si="12"/>
        <v>-- ,</v>
      </c>
    </row>
    <row r="523" spans="13:13">
      <c r="M523" s="24" t="str">
        <f t="shared" si="12"/>
        <v>-- ,</v>
      </c>
    </row>
    <row r="524" spans="13:13">
      <c r="M524" s="24" t="str">
        <f t="shared" si="12"/>
        <v>-- ,</v>
      </c>
    </row>
    <row r="525" spans="13:13">
      <c r="M525" s="24" t="str">
        <f t="shared" si="12"/>
        <v>-- ,</v>
      </c>
    </row>
    <row r="526" spans="13:13">
      <c r="M526" s="24" t="str">
        <f t="shared" si="12"/>
        <v>-- ,</v>
      </c>
    </row>
    <row r="527" spans="13:13">
      <c r="M527" s="24" t="str">
        <f t="shared" si="12"/>
        <v>-- ,</v>
      </c>
    </row>
    <row r="528" spans="13:13">
      <c r="M528" s="24" t="str">
        <f t="shared" si="12"/>
        <v>-- ,</v>
      </c>
    </row>
    <row r="529" spans="13:13">
      <c r="M529" s="24" t="str">
        <f t="shared" si="12"/>
        <v>-- ,</v>
      </c>
    </row>
    <row r="530" spans="13:13">
      <c r="M530" s="24" t="str">
        <f t="shared" si="12"/>
        <v>-- ,</v>
      </c>
    </row>
    <row r="531" spans="13:13">
      <c r="M531" s="20" t="s">
        <v>655</v>
      </c>
    </row>
    <row r="533" spans="13:13">
      <c r="M533" s="20" t="s">
        <v>656</v>
      </c>
    </row>
  </sheetData>
  <mergeCells count="12">
    <mergeCell ref="A4:B4"/>
    <mergeCell ref="C4:K4"/>
    <mergeCell ref="A5:B5"/>
    <mergeCell ref="D5:E5"/>
    <mergeCell ref="F5:G5"/>
    <mergeCell ref="A1:K1"/>
    <mergeCell ref="A2:B2"/>
    <mergeCell ref="C2:F2"/>
    <mergeCell ref="H2:I2"/>
    <mergeCell ref="A3:B3"/>
    <mergeCell ref="D3:F3"/>
    <mergeCell ref="H3:I3"/>
  </mergeCells>
  <phoneticPr fontId="6" type="noConversion"/>
  <pageMargins left="0.39370078740157483" right="0.39370078740157483" top="0.78740157480314965" bottom="0.39370078740157483" header="0" footer="0"/>
  <pageSetup paperSize="9" scale="93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>
    <tabColor rgb="FFFFFF00"/>
  </sheetPr>
  <dimension ref="A1:V533"/>
  <sheetViews>
    <sheetView showZeros="0" view="pageBreakPreview" zoomScaleNormal="100" zoomScaleSheetLayoutView="100" workbookViewId="0">
      <pane xSplit="1" ySplit="6" topLeftCell="B16" activePane="bottomRight" state="frozen"/>
      <selection activeCell="C25" sqref="C25"/>
      <selection pane="topRight" activeCell="C25" sqref="C25"/>
      <selection pane="bottomLeft" activeCell="C25" sqref="C25"/>
      <selection pane="bottomRight" activeCell="B20" sqref="B20"/>
    </sheetView>
  </sheetViews>
  <sheetFormatPr defaultColWidth="9.375" defaultRowHeight="10.8"/>
  <cols>
    <col min="1" max="1" width="4" style="20" bestFit="1" customWidth="1"/>
    <col min="2" max="2" width="13.375" style="20" customWidth="1"/>
    <col min="3" max="3" width="16.5" style="20" customWidth="1"/>
    <col min="4" max="4" width="13.375" style="28" bestFit="1" customWidth="1"/>
    <col min="5" max="5" width="6" style="28" bestFit="1" customWidth="1"/>
    <col min="6" max="7" width="8" style="20" bestFit="1" customWidth="1"/>
    <col min="8" max="8" width="10" style="20" bestFit="1" customWidth="1"/>
    <col min="9" max="10" width="9" style="20" bestFit="1" customWidth="1"/>
    <col min="11" max="11" width="29" style="20" customWidth="1"/>
    <col min="12" max="12" width="11" style="20" bestFit="1" customWidth="1"/>
    <col min="13" max="13" width="31.375" style="20" customWidth="1"/>
    <col min="14" max="16384" width="9.375" style="20"/>
  </cols>
  <sheetData>
    <row r="1" spans="1:22" ht="26.25" customHeight="1">
      <c r="A1" s="142" t="s">
        <v>24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2" spans="1:22">
      <c r="A2" s="135" t="s">
        <v>7</v>
      </c>
      <c r="B2" s="136"/>
      <c r="C2" s="143" t="str">
        <f>시스템정보!B2</f>
        <v>일대일거래APP</v>
      </c>
      <c r="D2" s="144"/>
      <c r="E2" s="144"/>
      <c r="F2" s="145"/>
      <c r="G2" s="96" t="s">
        <v>9</v>
      </c>
      <c r="H2" s="146" t="s">
        <v>247</v>
      </c>
      <c r="I2" s="147"/>
      <c r="J2" s="96" t="s">
        <v>11</v>
      </c>
      <c r="K2" s="59" t="s">
        <v>662</v>
      </c>
    </row>
    <row r="3" spans="1:22" ht="13.2">
      <c r="A3" s="135" t="s">
        <v>8</v>
      </c>
      <c r="B3" s="136"/>
      <c r="C3" s="32" t="s">
        <v>706</v>
      </c>
      <c r="D3" s="146" t="s">
        <v>705</v>
      </c>
      <c r="E3" s="148"/>
      <c r="F3" s="147"/>
      <c r="G3" s="96" t="s">
        <v>10</v>
      </c>
      <c r="H3" s="146" t="s">
        <v>247</v>
      </c>
      <c r="I3" s="147"/>
      <c r="J3" s="96" t="s">
        <v>18</v>
      </c>
      <c r="K3" s="59" t="s">
        <v>662</v>
      </c>
      <c r="M3" s="22"/>
    </row>
    <row r="4" spans="1:22" ht="13.2">
      <c r="A4" s="135" t="s">
        <v>6</v>
      </c>
      <c r="B4" s="136"/>
      <c r="C4" s="137" t="s">
        <v>720</v>
      </c>
      <c r="D4" s="137"/>
      <c r="E4" s="137"/>
      <c r="F4" s="137"/>
      <c r="G4" s="137"/>
      <c r="H4" s="137"/>
      <c r="I4" s="137"/>
      <c r="J4" s="137"/>
      <c r="K4" s="137"/>
      <c r="M4" s="22" t="str">
        <f>"DROP TABLE "&amp; $C$3 &amp;";"</f>
        <v>DROP TABLE Products;</v>
      </c>
    </row>
    <row r="5" spans="1:22" ht="13.2">
      <c r="A5" s="138" t="s">
        <v>136</v>
      </c>
      <c r="B5" s="139"/>
      <c r="C5" s="97" t="s">
        <v>248</v>
      </c>
      <c r="D5" s="138" t="s">
        <v>135</v>
      </c>
      <c r="E5" s="140"/>
      <c r="F5" s="141" t="s">
        <v>664</v>
      </c>
      <c r="G5" s="140"/>
      <c r="H5" s="96" t="s">
        <v>273</v>
      </c>
      <c r="I5" s="97" t="s">
        <v>138</v>
      </c>
      <c r="J5" s="97"/>
      <c r="K5" s="97"/>
      <c r="M5" s="22"/>
    </row>
    <row r="6" spans="1:22">
      <c r="A6" s="96" t="s">
        <v>1</v>
      </c>
      <c r="B6" s="96" t="s">
        <v>12</v>
      </c>
      <c r="C6" s="96" t="s">
        <v>13</v>
      </c>
      <c r="D6" s="96" t="s">
        <v>14</v>
      </c>
      <c r="E6" s="96" t="s">
        <v>15</v>
      </c>
      <c r="F6" s="96" t="s">
        <v>16</v>
      </c>
      <c r="G6" s="96" t="s">
        <v>26</v>
      </c>
      <c r="H6" s="96" t="s">
        <v>25</v>
      </c>
      <c r="I6" s="96" t="s">
        <v>17</v>
      </c>
      <c r="J6" s="96" t="s">
        <v>274</v>
      </c>
      <c r="K6" s="96" t="s">
        <v>6</v>
      </c>
      <c r="M6" s="23" t="str">
        <f>"CREATE TABLE " &amp; $C$3 &amp; " ("</f>
        <v>CREATE TABLE Products (</v>
      </c>
      <c r="V6" s="23" t="str">
        <f>LEFT(UPPER($C$3)&amp;REPT(" ",30),30)
&amp;LEFT(SUBSTITUTE(LOWER(MID(SUBSTITUTE(PROPER($C$3),"_",""),1,1))&amp;MID(SUBSTITUTE(PROPER($C$3),"_",""),2,LEN(SUBSTITUTE(PROPER($C$3),"_",""))),"tb","")&amp;REPT(" ",30),30)
&amp;LEFT($D$3&amp;REPT(" ",30),30)</f>
        <v xml:space="preserve">PRODUCTS                      products                      상품                            </v>
      </c>
    </row>
    <row r="7" spans="1:22">
      <c r="A7" s="59">
        <v>1</v>
      </c>
      <c r="B7" s="2" t="s">
        <v>695</v>
      </c>
      <c r="C7" s="2" t="s">
        <v>665</v>
      </c>
      <c r="D7" s="17" t="s">
        <v>275</v>
      </c>
      <c r="E7" s="39">
        <v>256</v>
      </c>
      <c r="F7" s="40"/>
      <c r="G7" s="38"/>
      <c r="H7" s="42"/>
      <c r="I7" s="41"/>
      <c r="J7" s="38"/>
      <c r="K7" s="43"/>
      <c r="M7" s="23" t="str">
        <f>REPT(" ",13)&amp;IF(ISBLANK($B7),"--"&amp;$A7,
LEFT(SUBSTITUTE($B7," ","*")&amp;REPT("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       storeNumber                   VARCHAR(256)                                                ,</v>
      </c>
      <c r="V7" s="23" t="str">
        <f>REPT(" ",6)&amp;
IF(ISBLANK($B7),"--"&amp;UPPER($A7),LEFT(SUBSTITUTE(UPPER($B7)," ","*")&amp;REPT(" ",30),30)&amp;
LEFT("AS " &amp; LOWER(MID(SUBSTITUTE(PROPER($B7),"_",""),1,1))&amp;MID(SUBSTITUTE(PROPER($B7),"_",""),2,LEN(SUBSTITUTE(PROPER($B7),"_","")))&amp;REPT(" ",30),30)&amp;
LEFT(IF(ISBLANK($C7),"/**/","/* "&amp;$C7)&amp;" */"&amp;REPT(" ",30),30))</f>
        <v xml:space="preserve">      STORENUMBER                   AS storenumber                /* 상점번호 */                    </v>
      </c>
    </row>
    <row r="8" spans="1:22">
      <c r="A8" s="59">
        <v>2</v>
      </c>
      <c r="B8" s="2" t="s">
        <v>696</v>
      </c>
      <c r="C8" s="2" t="s">
        <v>666</v>
      </c>
      <c r="D8" s="17" t="s">
        <v>275</v>
      </c>
      <c r="E8" s="33">
        <v>256</v>
      </c>
      <c r="F8" s="39"/>
      <c r="G8" s="44"/>
      <c r="H8" s="38"/>
      <c r="I8" s="41"/>
      <c r="J8" s="38"/>
      <c r="K8" s="43" t="s">
        <v>683</v>
      </c>
      <c r="M8" s="23" t="str">
        <f t="shared" ref="M8:M71" si="0">REPT(" ",13)&amp;IF(ISBLANK($B8),"--"&amp;$A8,
LEFT(SUBSTITUTE($B8," ","*")&amp;REPT(" ",30),30)&amp;
LEFT(IF(ISBLANK($D8),"",IF(OR(UPPER($D8)="DATE",UPPER($D8)="CLOB",UPPER($D8)="BLOB",UPPER($D8)="LONG",UPPER($D8)="TIMESTAMP"),UPPER($D8),IF(ISBLANK($E8),UPPER($D8),UPPER($D8)&amp;"("&amp;$E8&amp;")")))&amp;REPT(" ",15),15)&amp;
LEFT(IF(ISBLANK($F8),"","DEFAULT  "&amp;$F8)&amp;REPT(" ",19),19)&amp;
LEFT(IF(ISBLANK($J8),""," identity(" &amp; $J8 &amp; ") ")&amp;REPT(" ",17),17)&amp;
LEFT(IF(ISBLANK($H8),""," NOT NULL")&amp;REPT(" ",9),9)&amp;
IF(AND(ISBLANK(G$7),ISBLANK($B9)),"",","))</f>
        <v xml:space="preserve">             storeName                     VARCHAR(256)                                                ,</v>
      </c>
      <c r="V8" s="23" t="str">
        <f t="shared" ref="V8:V71" si="1">REPT(" ",6)&amp;
IF(ISBLANK($B8),"--"&amp;UPPER($A8),LEFT(SUBSTITUTE(UPPER($B8)," ","*")&amp;REPT(" ",30),30)&amp;
LEFT("AS " &amp; LOWER(MID(SUBSTITUTE(PROPER($B8),"_",""),1,1))&amp;MID(SUBSTITUTE(PROPER($B8),"_",""),2,LEN(SUBSTITUTE(PROPER($B8),"_","")))&amp;REPT(" ",30),30)&amp;
LEFT(IF(ISBLANK($C8),"/**/","/* "&amp;$C8)&amp;" */"&amp;REPT(" ",30),30))</f>
        <v xml:space="preserve">      STORENAME                     AS storename                  /* 상점명 */                     </v>
      </c>
    </row>
    <row r="9" spans="1:22">
      <c r="A9" s="59">
        <v>3</v>
      </c>
      <c r="B9" s="2" t="s">
        <v>697</v>
      </c>
      <c r="C9" s="2" t="s">
        <v>667</v>
      </c>
      <c r="D9" s="17" t="s">
        <v>275</v>
      </c>
      <c r="E9" s="33">
        <v>256</v>
      </c>
      <c r="F9" s="39"/>
      <c r="G9" s="44"/>
      <c r="H9" s="38"/>
      <c r="I9" s="41"/>
      <c r="J9" s="41"/>
      <c r="K9" s="43" t="s">
        <v>683</v>
      </c>
      <c r="M9" s="23" t="str">
        <f t="shared" si="0"/>
        <v xml:space="preserve">             sellerName                    VARCHAR(256)                                                ,</v>
      </c>
      <c r="V9" s="23" t="str">
        <f t="shared" si="1"/>
        <v xml:space="preserve">      SELLERNAME                    AS sellername                 /* 판매자명 */                    </v>
      </c>
    </row>
    <row r="10" spans="1:22">
      <c r="A10" s="59">
        <v>4</v>
      </c>
      <c r="B10" s="92" t="s">
        <v>678</v>
      </c>
      <c r="C10" s="92" t="s">
        <v>668</v>
      </c>
      <c r="D10" s="17" t="s">
        <v>275</v>
      </c>
      <c r="E10" s="33">
        <v>256</v>
      </c>
      <c r="F10" s="33"/>
      <c r="G10" s="33"/>
      <c r="H10" s="33"/>
      <c r="I10" s="35"/>
      <c r="J10" s="35"/>
      <c r="K10" s="43" t="s">
        <v>683</v>
      </c>
      <c r="M10" s="23" t="str">
        <f t="shared" si="0"/>
        <v xml:space="preserve">             nickName                      VARCHAR(256)                                                ,</v>
      </c>
      <c r="V10" s="23" t="str">
        <f t="shared" si="1"/>
        <v xml:space="preserve">      NICKNAME                      AS nickname                   /* 별명 */                      </v>
      </c>
    </row>
    <row r="11" spans="1:22">
      <c r="A11" s="59">
        <v>5</v>
      </c>
      <c r="B11" s="91" t="s">
        <v>698</v>
      </c>
      <c r="C11" s="91" t="s">
        <v>276</v>
      </c>
      <c r="D11" s="17" t="s">
        <v>275</v>
      </c>
      <c r="E11" s="33">
        <v>256</v>
      </c>
      <c r="F11" s="35"/>
      <c r="G11" s="33"/>
      <c r="H11" s="33"/>
      <c r="I11" s="35"/>
      <c r="J11" s="35"/>
      <c r="K11" s="43" t="s">
        <v>683</v>
      </c>
      <c r="M11" s="23" t="str">
        <f t="shared" si="0"/>
        <v xml:space="preserve">             phoneNumber                   VARCHAR(256)                                                ,</v>
      </c>
      <c r="V11" s="23" t="str">
        <f t="shared" si="1"/>
        <v xml:space="preserve">      PHONENUMBER                   AS phonenumber                /* 전화번호 */                    </v>
      </c>
    </row>
    <row r="12" spans="1:22">
      <c r="A12" s="59">
        <v>6</v>
      </c>
      <c r="B12" s="91" t="s">
        <v>699</v>
      </c>
      <c r="C12" s="91" t="s">
        <v>669</v>
      </c>
      <c r="D12" s="17" t="s">
        <v>275</v>
      </c>
      <c r="E12" s="33">
        <v>256</v>
      </c>
      <c r="F12" s="33"/>
      <c r="G12" s="33"/>
      <c r="H12" s="33"/>
      <c r="I12" s="35"/>
      <c r="J12" s="35"/>
      <c r="K12" s="43" t="s">
        <v>683</v>
      </c>
      <c r="M12" s="23" t="str">
        <f t="shared" si="0"/>
        <v xml:space="preserve">             emailAddress                  VARCHAR(256)                                                ,</v>
      </c>
      <c r="V12" s="23" t="str">
        <f t="shared" si="1"/>
        <v xml:space="preserve">      EMAILADDRESS                  AS emailaddress               /* 이메일주소 */                   </v>
      </c>
    </row>
    <row r="13" spans="1:22">
      <c r="A13" s="59">
        <v>7</v>
      </c>
      <c r="B13" s="91" t="s">
        <v>690</v>
      </c>
      <c r="C13" s="91" t="s">
        <v>701</v>
      </c>
      <c r="D13" s="17" t="s">
        <v>275</v>
      </c>
      <c r="E13" s="33">
        <v>256</v>
      </c>
      <c r="F13" s="35"/>
      <c r="G13" s="33"/>
      <c r="H13" s="33"/>
      <c r="I13" s="35"/>
      <c r="J13" s="35"/>
      <c r="K13" s="43" t="s">
        <v>683</v>
      </c>
      <c r="M13" s="23" t="str">
        <f t="shared" si="0"/>
        <v xml:space="preserve">             zipCode                       VARCHAR(256)                                                ,</v>
      </c>
      <c r="V13" s="23" t="str">
        <f t="shared" si="1"/>
        <v xml:space="preserve">      ZIPCODE                       AS zipcode                    /* 우편번호(지번) */                </v>
      </c>
    </row>
    <row r="14" spans="1:22" ht="21.6">
      <c r="A14" s="59">
        <v>8</v>
      </c>
      <c r="B14" s="91" t="s">
        <v>700</v>
      </c>
      <c r="C14" s="91" t="s">
        <v>702</v>
      </c>
      <c r="D14" s="17" t="s">
        <v>275</v>
      </c>
      <c r="E14" s="33">
        <v>256</v>
      </c>
      <c r="F14" s="33"/>
      <c r="G14" s="33"/>
      <c r="H14" s="33"/>
      <c r="I14" s="35"/>
      <c r="J14" s="35"/>
      <c r="K14" s="43" t="s">
        <v>683</v>
      </c>
      <c r="M14" s="23" t="str">
        <f t="shared" si="0"/>
        <v xml:space="preserve">             postalCode                    VARCHAR(256)                                                ,</v>
      </c>
      <c r="V14" s="23" t="str">
        <f t="shared" si="1"/>
        <v xml:space="preserve">      POSTALCODE                    AS postalcode                 /* 우편번호(도로명) */               </v>
      </c>
    </row>
    <row r="15" spans="1:22">
      <c r="A15" s="59">
        <v>9</v>
      </c>
      <c r="B15" s="91" t="s">
        <v>691</v>
      </c>
      <c r="C15" s="91" t="s">
        <v>689</v>
      </c>
      <c r="D15" s="17" t="s">
        <v>275</v>
      </c>
      <c r="E15" s="33">
        <v>256</v>
      </c>
      <c r="F15" s="33"/>
      <c r="G15" s="33"/>
      <c r="H15" s="33"/>
      <c r="I15" s="35"/>
      <c r="J15" s="35"/>
      <c r="K15" s="43" t="s">
        <v>683</v>
      </c>
      <c r="M15" s="23" t="str">
        <f t="shared" si="0"/>
        <v xml:space="preserve">             baseAddress                   VARCHAR(256)                                                ,</v>
      </c>
      <c r="V15" s="23" t="str">
        <f t="shared" si="1"/>
        <v xml:space="preserve">      BASEADDRESS                   AS baseaddress                /* 기본주소 */                    </v>
      </c>
    </row>
    <row r="16" spans="1:22" ht="21.6">
      <c r="A16" s="59">
        <v>10</v>
      </c>
      <c r="B16" s="91" t="s">
        <v>692</v>
      </c>
      <c r="C16" s="91" t="s">
        <v>694</v>
      </c>
      <c r="D16" s="17" t="s">
        <v>275</v>
      </c>
      <c r="E16" s="33">
        <v>256</v>
      </c>
      <c r="F16" s="35"/>
      <c r="G16" s="33"/>
      <c r="H16" s="33"/>
      <c r="I16" s="35"/>
      <c r="J16" s="35"/>
      <c r="K16" s="43" t="s">
        <v>693</v>
      </c>
      <c r="M16" s="23" t="str">
        <f t="shared" si="0"/>
        <v xml:space="preserve">             availableArea                 VARCHAR(256)                                                ,</v>
      </c>
      <c r="V16" s="23" t="str">
        <f t="shared" si="1"/>
        <v xml:space="preserve">      AVAILABLEAREA                 AS availablearea              /* 판매가능지역 */                  </v>
      </c>
    </row>
    <row r="17" spans="1:22" ht="21.6">
      <c r="A17" s="59">
        <v>11</v>
      </c>
      <c r="B17" s="92" t="s">
        <v>725</v>
      </c>
      <c r="C17" s="92" t="s">
        <v>721</v>
      </c>
      <c r="D17" s="17" t="s">
        <v>275</v>
      </c>
      <c r="E17" s="33">
        <v>256</v>
      </c>
      <c r="F17" s="33"/>
      <c r="G17" s="33"/>
      <c r="H17" s="33"/>
      <c r="I17" s="35"/>
      <c r="J17" s="35"/>
      <c r="K17" s="43" t="s">
        <v>711</v>
      </c>
      <c r="M17" s="23" t="str">
        <f t="shared" si="0"/>
        <v xml:space="preserve">             productNumber                 VARCHAR(256)                                                ,</v>
      </c>
      <c r="V17" s="23" t="str">
        <f t="shared" si="1"/>
        <v xml:space="preserve">      PRODUCTNUMBER                 AS productnumber              /* 상품번호 */                    </v>
      </c>
    </row>
    <row r="18" spans="1:22">
      <c r="A18" s="59">
        <v>12</v>
      </c>
      <c r="B18" s="92" t="s">
        <v>726</v>
      </c>
      <c r="C18" s="92" t="s">
        <v>722</v>
      </c>
      <c r="D18" s="17" t="s">
        <v>275</v>
      </c>
      <c r="E18" s="33">
        <v>256</v>
      </c>
      <c r="F18" s="33"/>
      <c r="G18" s="33"/>
      <c r="H18" s="33"/>
      <c r="I18" s="35"/>
      <c r="J18" s="35"/>
      <c r="K18" s="43" t="s">
        <v>711</v>
      </c>
      <c r="M18" s="23" t="str">
        <f t="shared" si="0"/>
        <v xml:space="preserve">             productName                   VARCHAR(256)                                                ,</v>
      </c>
      <c r="V18" s="23" t="str">
        <f t="shared" si="1"/>
        <v xml:space="preserve">      PRODUCTNAME                   AS productname                /* 상품명 */                     </v>
      </c>
    </row>
    <row r="19" spans="1:22" ht="21.6">
      <c r="A19" s="59">
        <v>13</v>
      </c>
      <c r="B19" s="92" t="s">
        <v>727</v>
      </c>
      <c r="C19" s="91" t="s">
        <v>728</v>
      </c>
      <c r="D19" s="17" t="s">
        <v>275</v>
      </c>
      <c r="E19" s="33">
        <v>256</v>
      </c>
      <c r="F19" s="35"/>
      <c r="G19" s="33"/>
      <c r="H19" s="33"/>
      <c r="I19" s="35"/>
      <c r="J19" s="35"/>
      <c r="K19" s="43" t="s">
        <v>711</v>
      </c>
      <c r="M19" s="23" t="str">
        <f t="shared" si="0"/>
        <v xml:space="preserve">             productPhotoPath              VARCHAR(256)                                                ,</v>
      </c>
      <c r="V19" s="23" t="str">
        <f t="shared" si="1"/>
        <v xml:space="preserve">      PRODUCTPHOTOPATH              AS productphotopath           /* 상품사진경로 */                  </v>
      </c>
    </row>
    <row r="20" spans="1:22" ht="21.6">
      <c r="A20" s="59">
        <v>14</v>
      </c>
      <c r="B20" s="92" t="s">
        <v>729</v>
      </c>
      <c r="C20" s="92" t="s">
        <v>723</v>
      </c>
      <c r="D20" s="17" t="s">
        <v>275</v>
      </c>
      <c r="E20" s="33">
        <v>256</v>
      </c>
      <c r="F20" s="33"/>
      <c r="G20" s="33"/>
      <c r="H20" s="33"/>
      <c r="I20" s="35"/>
      <c r="J20" s="35"/>
      <c r="K20" s="43"/>
      <c r="M20" s="23" t="str">
        <f t="shared" si="0"/>
        <v xml:space="preserve">             productDescription            VARCHAR(256)                                                ,</v>
      </c>
      <c r="V20" s="23" t="str">
        <f t="shared" si="1"/>
        <v xml:space="preserve">      PRODUCTDESCRIPTION            AS productdescription         /* 상세설명 */                    </v>
      </c>
    </row>
    <row r="21" spans="1:22">
      <c r="A21" s="59">
        <v>15</v>
      </c>
      <c r="B21" s="91" t="s">
        <v>730</v>
      </c>
      <c r="C21" s="91" t="s">
        <v>724</v>
      </c>
      <c r="D21" s="17" t="s">
        <v>275</v>
      </c>
      <c r="E21" s="33">
        <v>256</v>
      </c>
      <c r="F21" s="35"/>
      <c r="G21" s="33"/>
      <c r="H21" s="33"/>
      <c r="I21" s="35"/>
      <c r="J21" s="35"/>
      <c r="K21" s="43"/>
      <c r="M21" s="23" t="str">
        <f t="shared" si="0"/>
        <v xml:space="preserve">             basicPrice                    VARCHAR(256)                                                ,</v>
      </c>
      <c r="V21" s="23" t="str">
        <f t="shared" si="1"/>
        <v xml:space="preserve">      BASICPRICE                    AS basicprice                 /* 기본가 */                     </v>
      </c>
    </row>
    <row r="22" spans="1:22" ht="21.6">
      <c r="A22" s="59">
        <v>16</v>
      </c>
      <c r="B22" s="91" t="s">
        <v>737</v>
      </c>
      <c r="C22" s="91" t="s">
        <v>731</v>
      </c>
      <c r="D22" s="33" t="s">
        <v>275</v>
      </c>
      <c r="E22" s="33">
        <v>256</v>
      </c>
      <c r="F22" s="33"/>
      <c r="G22" s="33"/>
      <c r="H22" s="33"/>
      <c r="I22" s="35"/>
      <c r="J22" s="35"/>
      <c r="K22" s="43" t="s">
        <v>736</v>
      </c>
      <c r="M22" s="23" t="str">
        <f t="shared" si="0"/>
        <v xml:space="preserve">             salesSystem                   VARCHAR(256)                                                ,</v>
      </c>
      <c r="V22" s="23" t="str">
        <f t="shared" si="1"/>
        <v xml:space="preserve">      SALESSYSTEM                   AS salessystem                /* 판매방식 */                    </v>
      </c>
    </row>
    <row r="23" spans="1:22" ht="21.6">
      <c r="A23" s="59">
        <v>17</v>
      </c>
      <c r="B23" s="92" t="s">
        <v>734</v>
      </c>
      <c r="C23" s="92" t="s">
        <v>732</v>
      </c>
      <c r="D23" s="17" t="s">
        <v>275</v>
      </c>
      <c r="E23" s="33">
        <v>256</v>
      </c>
      <c r="F23" s="33"/>
      <c r="G23" s="33"/>
      <c r="H23" s="33"/>
      <c r="I23" s="35"/>
      <c r="J23" s="35"/>
      <c r="K23" s="43"/>
      <c r="M23" s="23" t="str">
        <f t="shared" si="0"/>
        <v xml:space="preserve">             salesStartDate                VARCHAR(256)                                                ,</v>
      </c>
      <c r="V23" s="23" t="str">
        <f t="shared" si="1"/>
        <v xml:space="preserve">      SALESSTARTDATE                AS salesstartdate             /* 판매시작일 */                   </v>
      </c>
    </row>
    <row r="24" spans="1:22">
      <c r="A24" s="59">
        <v>18</v>
      </c>
      <c r="B24" s="91" t="s">
        <v>735</v>
      </c>
      <c r="C24" s="91" t="s">
        <v>733</v>
      </c>
      <c r="D24" s="17" t="s">
        <v>275</v>
      </c>
      <c r="E24" s="33">
        <v>256</v>
      </c>
      <c r="F24" s="35"/>
      <c r="G24" s="33"/>
      <c r="H24" s="33"/>
      <c r="I24" s="35"/>
      <c r="J24" s="35"/>
      <c r="K24" s="43"/>
      <c r="M24" s="23" t="str">
        <f t="shared" si="0"/>
        <v xml:space="preserve">             salesEndDate                  VARCHAR(256)                                                ,</v>
      </c>
      <c r="V24" s="23" t="str">
        <f t="shared" si="1"/>
        <v xml:space="preserve">      SALESENDDATE                  AS salesenddate               /* 판매종료일 */                   </v>
      </c>
    </row>
    <row r="25" spans="1:22">
      <c r="A25" s="59">
        <v>19</v>
      </c>
      <c r="B25" s="91" t="s">
        <v>713</v>
      </c>
      <c r="C25" s="91" t="s">
        <v>712</v>
      </c>
      <c r="D25" s="33" t="s">
        <v>275</v>
      </c>
      <c r="E25" s="33">
        <v>256</v>
      </c>
      <c r="F25" s="33"/>
      <c r="G25" s="33"/>
      <c r="H25" s="33"/>
      <c r="I25" s="35"/>
      <c r="J25" s="35"/>
      <c r="K25" s="43" t="s">
        <v>711</v>
      </c>
      <c r="M25" s="23" t="str">
        <f t="shared" si="0"/>
        <v xml:space="preserve">             saleAt                        VARCHAR(256)                                                ,</v>
      </c>
      <c r="V25" s="23" t="str">
        <f t="shared" si="1"/>
        <v xml:space="preserve">      SALEAT                        AS saleat                     /* 판매여부 */                    </v>
      </c>
    </row>
    <row r="26" spans="1:22">
      <c r="A26" s="59">
        <v>20</v>
      </c>
      <c r="B26" s="92" t="s">
        <v>709</v>
      </c>
      <c r="C26" s="92" t="s">
        <v>707</v>
      </c>
      <c r="D26" s="17" t="s">
        <v>275</v>
      </c>
      <c r="E26" s="33">
        <v>256</v>
      </c>
      <c r="F26" s="33"/>
      <c r="G26" s="33"/>
      <c r="H26" s="33"/>
      <c r="I26" s="35"/>
      <c r="J26" s="35"/>
      <c r="K26" s="43" t="s">
        <v>711</v>
      </c>
      <c r="M26" s="23" t="str">
        <f t="shared" si="0"/>
        <v xml:space="preserve">             useAt                         VARCHAR(256)                                                ,</v>
      </c>
      <c r="V26" s="23" t="str">
        <f t="shared" si="1"/>
        <v xml:space="preserve">      USEAT                         AS useat                      /* 사용여부 */                    </v>
      </c>
    </row>
    <row r="27" spans="1:22">
      <c r="A27" s="59">
        <v>21</v>
      </c>
      <c r="B27" s="91" t="s">
        <v>710</v>
      </c>
      <c r="C27" s="91" t="s">
        <v>708</v>
      </c>
      <c r="D27" s="17" t="s">
        <v>275</v>
      </c>
      <c r="E27" s="33">
        <v>256</v>
      </c>
      <c r="F27" s="35"/>
      <c r="G27" s="33"/>
      <c r="H27" s="33"/>
      <c r="I27" s="35"/>
      <c r="J27" s="35"/>
      <c r="K27" s="43" t="s">
        <v>711</v>
      </c>
      <c r="M27" s="23" t="str">
        <f t="shared" si="0"/>
        <v xml:space="preserve">             delAt                         VARCHAR(256)                                                ,</v>
      </c>
      <c r="V27" s="23" t="str">
        <f t="shared" si="1"/>
        <v xml:space="preserve">      DELAT                         AS delat                      /* 삭제여부 */                    </v>
      </c>
    </row>
    <row r="28" spans="1:22">
      <c r="A28" s="59">
        <v>22</v>
      </c>
      <c r="B28" s="92" t="s">
        <v>671</v>
      </c>
      <c r="C28" s="92" t="s">
        <v>635</v>
      </c>
      <c r="D28" s="17" t="s">
        <v>275</v>
      </c>
      <c r="E28" s="33">
        <v>256</v>
      </c>
      <c r="F28" s="33"/>
      <c r="G28" s="33"/>
      <c r="H28" s="33"/>
      <c r="I28" s="35"/>
      <c r="J28" s="35"/>
      <c r="K28" s="43"/>
      <c r="M28" s="23" t="str">
        <f t="shared" si="0"/>
        <v xml:space="preserve">             createId                      VARCHAR(256)                                                ,</v>
      </c>
      <c r="V28" s="23" t="str">
        <f t="shared" si="1"/>
        <v xml:space="preserve">      CREATEID                      AS createid                   /* 생성자 */                     </v>
      </c>
    </row>
    <row r="29" spans="1:22">
      <c r="A29" s="59">
        <v>23</v>
      </c>
      <c r="B29" s="91" t="s">
        <v>674</v>
      </c>
      <c r="C29" s="91" t="s">
        <v>636</v>
      </c>
      <c r="D29" s="17" t="s">
        <v>275</v>
      </c>
      <c r="E29" s="33">
        <v>256</v>
      </c>
      <c r="F29" s="35"/>
      <c r="G29" s="33"/>
      <c r="H29" s="33"/>
      <c r="I29" s="35"/>
      <c r="J29" s="35"/>
      <c r="K29" s="43"/>
      <c r="M29" s="23" t="str">
        <f t="shared" si="0"/>
        <v xml:space="preserve">             createDate                    VARCHAR(256)                                                ,</v>
      </c>
      <c r="V29" s="23" t="str">
        <f t="shared" si="1"/>
        <v xml:space="preserve">      CREATEDATE                    AS createdate                 /* 생성 일시 */                   </v>
      </c>
    </row>
    <row r="30" spans="1:22">
      <c r="A30" s="59">
        <v>24</v>
      </c>
      <c r="B30" s="91" t="s">
        <v>672</v>
      </c>
      <c r="C30" s="91" t="s">
        <v>682</v>
      </c>
      <c r="D30" s="33" t="s">
        <v>275</v>
      </c>
      <c r="E30" s="33">
        <v>256</v>
      </c>
      <c r="F30" s="33"/>
      <c r="G30" s="33"/>
      <c r="H30" s="33"/>
      <c r="I30" s="35"/>
      <c r="J30" s="35"/>
      <c r="K30" s="90"/>
      <c r="M30" s="23" t="str">
        <f t="shared" si="0"/>
        <v xml:space="preserve">             updateId                      VARCHAR(256)                                                ,</v>
      </c>
      <c r="V30" s="23" t="str">
        <f t="shared" si="1"/>
        <v xml:space="preserve">      UPDATEID                      AS updateid                   /* 수정자 */                     </v>
      </c>
    </row>
    <row r="31" spans="1:22">
      <c r="A31" s="59">
        <v>25</v>
      </c>
      <c r="B31" s="91" t="s">
        <v>673</v>
      </c>
      <c r="C31" s="91" t="s">
        <v>637</v>
      </c>
      <c r="D31" s="17" t="s">
        <v>275</v>
      </c>
      <c r="E31" s="33">
        <v>256</v>
      </c>
      <c r="F31" s="35"/>
      <c r="G31" s="33"/>
      <c r="H31" s="33"/>
      <c r="I31" s="35"/>
      <c r="J31" s="35"/>
      <c r="K31" s="90"/>
      <c r="M31" s="23" t="str">
        <f t="shared" si="0"/>
        <v xml:space="preserve">             updateDate                    VARCHAR(256)                                                </v>
      </c>
      <c r="V31" s="23" t="str">
        <f t="shared" si="1"/>
        <v xml:space="preserve">      UPDATEDATE                    AS updatedate                 /* 갱신 일시 */                   </v>
      </c>
    </row>
    <row r="32" spans="1:22">
      <c r="A32" s="59">
        <v>26</v>
      </c>
      <c r="B32" s="91"/>
      <c r="C32" s="91"/>
      <c r="D32" s="33"/>
      <c r="E32" s="33"/>
      <c r="F32" s="35"/>
      <c r="G32" s="33"/>
      <c r="H32" s="33"/>
      <c r="I32" s="35"/>
      <c r="J32" s="35"/>
      <c r="K32" s="90"/>
      <c r="M32" s="23" t="str">
        <f t="shared" si="0"/>
        <v xml:space="preserve">             --26</v>
      </c>
      <c r="V32" s="23" t="str">
        <f t="shared" si="1"/>
        <v xml:space="preserve">      --26</v>
      </c>
    </row>
    <row r="33" spans="1:22">
      <c r="A33" s="59">
        <v>27</v>
      </c>
      <c r="B33" s="91"/>
      <c r="C33" s="91"/>
      <c r="D33" s="33"/>
      <c r="E33" s="33"/>
      <c r="F33" s="33"/>
      <c r="G33" s="33"/>
      <c r="H33" s="33"/>
      <c r="I33" s="35"/>
      <c r="J33" s="35"/>
      <c r="K33" s="90"/>
      <c r="M33" s="23" t="str">
        <f t="shared" si="0"/>
        <v xml:space="preserve">             --27</v>
      </c>
      <c r="V33" s="23" t="str">
        <f t="shared" si="1"/>
        <v xml:space="preserve">      --27</v>
      </c>
    </row>
    <row r="34" spans="1:22">
      <c r="A34" s="59">
        <v>28</v>
      </c>
      <c r="B34" s="91"/>
      <c r="C34" s="2"/>
      <c r="D34" s="38"/>
      <c r="E34" s="39"/>
      <c r="F34" s="33"/>
      <c r="G34" s="33"/>
      <c r="H34" s="33"/>
      <c r="I34" s="93"/>
      <c r="J34" s="93"/>
      <c r="K34" s="19"/>
      <c r="M34" s="23" t="str">
        <f t="shared" si="0"/>
        <v xml:space="preserve">             --28</v>
      </c>
      <c r="V34" s="23" t="str">
        <f t="shared" si="1"/>
        <v xml:space="preserve">      --28</v>
      </c>
    </row>
    <row r="35" spans="1:22">
      <c r="A35" s="59">
        <v>29</v>
      </c>
      <c r="B35" s="92"/>
      <c r="C35" s="92"/>
      <c r="D35" s="33"/>
      <c r="E35" s="33"/>
      <c r="F35" s="33"/>
      <c r="G35" s="33"/>
      <c r="H35" s="33"/>
      <c r="I35" s="93"/>
      <c r="J35" s="93"/>
      <c r="K35" s="19"/>
      <c r="M35" s="23" t="str">
        <f t="shared" si="0"/>
        <v xml:space="preserve">             --29</v>
      </c>
      <c r="V35" s="23" t="str">
        <f t="shared" si="1"/>
        <v xml:space="preserve">      --29</v>
      </c>
    </row>
    <row r="36" spans="1:22">
      <c r="A36" s="59">
        <v>30</v>
      </c>
      <c r="B36" s="91"/>
      <c r="C36" s="91"/>
      <c r="D36" s="33"/>
      <c r="E36" s="33"/>
      <c r="F36" s="33"/>
      <c r="G36" s="33"/>
      <c r="H36" s="33"/>
      <c r="I36" s="35"/>
      <c r="J36" s="35"/>
      <c r="K36" s="90"/>
      <c r="M36" s="23" t="str">
        <f t="shared" si="0"/>
        <v xml:space="preserve">             --30</v>
      </c>
      <c r="V36" s="23" t="str">
        <f t="shared" si="1"/>
        <v xml:space="preserve">      --30</v>
      </c>
    </row>
    <row r="37" spans="1:22">
      <c r="A37" s="59">
        <v>31</v>
      </c>
      <c r="B37" s="91"/>
      <c r="C37" s="91"/>
      <c r="D37" s="33"/>
      <c r="E37" s="33"/>
      <c r="F37" s="33"/>
      <c r="G37" s="33"/>
      <c r="H37" s="33"/>
      <c r="I37" s="35"/>
      <c r="J37" s="35"/>
      <c r="K37" s="90"/>
      <c r="M37" s="23" t="str">
        <f t="shared" si="0"/>
        <v xml:space="preserve">             --31</v>
      </c>
      <c r="V37" s="23" t="str">
        <f t="shared" si="1"/>
        <v xml:space="preserve">      --31</v>
      </c>
    </row>
    <row r="38" spans="1:22">
      <c r="A38" s="59">
        <v>32</v>
      </c>
      <c r="B38" s="91"/>
      <c r="C38" s="91"/>
      <c r="D38" s="33"/>
      <c r="E38" s="33"/>
      <c r="F38" s="33"/>
      <c r="G38" s="33"/>
      <c r="H38" s="33"/>
      <c r="I38" s="35"/>
      <c r="J38" s="35"/>
      <c r="K38" s="90"/>
      <c r="M38" s="23" t="str">
        <f t="shared" si="0"/>
        <v xml:space="preserve">             --32</v>
      </c>
      <c r="V38" s="23" t="str">
        <f t="shared" si="1"/>
        <v xml:space="preserve">      --32</v>
      </c>
    </row>
    <row r="39" spans="1:22">
      <c r="A39" s="59">
        <v>33</v>
      </c>
      <c r="B39" s="91"/>
      <c r="C39" s="91"/>
      <c r="D39" s="33"/>
      <c r="E39" s="33"/>
      <c r="F39" s="35"/>
      <c r="G39" s="33"/>
      <c r="H39" s="33"/>
      <c r="I39" s="35"/>
      <c r="J39" s="35"/>
      <c r="K39" s="90"/>
      <c r="M39" s="23" t="str">
        <f t="shared" si="0"/>
        <v xml:space="preserve">             --33</v>
      </c>
      <c r="V39" s="23" t="str">
        <f t="shared" si="1"/>
        <v xml:space="preserve">      --33</v>
      </c>
    </row>
    <row r="40" spans="1:22">
      <c r="A40" s="59">
        <v>34</v>
      </c>
      <c r="B40" s="91"/>
      <c r="C40" s="91"/>
      <c r="D40" s="33"/>
      <c r="E40" s="33"/>
      <c r="F40" s="33"/>
      <c r="G40" s="33"/>
      <c r="H40" s="33"/>
      <c r="I40" s="35"/>
      <c r="J40" s="35"/>
      <c r="K40" s="90"/>
      <c r="M40" s="23" t="str">
        <f t="shared" si="0"/>
        <v xml:space="preserve">             --34</v>
      </c>
      <c r="V40" s="23" t="str">
        <f t="shared" si="1"/>
        <v xml:space="preserve">      --34</v>
      </c>
    </row>
    <row r="41" spans="1:22">
      <c r="A41" s="59">
        <v>35</v>
      </c>
      <c r="B41" s="91"/>
      <c r="C41" s="2"/>
      <c r="D41" s="38"/>
      <c r="E41" s="39"/>
      <c r="F41" s="33"/>
      <c r="G41" s="33"/>
      <c r="H41" s="33"/>
      <c r="I41" s="93"/>
      <c r="J41" s="93"/>
      <c r="K41" s="19"/>
      <c r="M41" s="23" t="str">
        <f t="shared" si="0"/>
        <v xml:space="preserve">             --35</v>
      </c>
      <c r="V41" s="23" t="str">
        <f t="shared" si="1"/>
        <v xml:space="preserve">      --35</v>
      </c>
    </row>
    <row r="42" spans="1:22">
      <c r="A42" s="59">
        <v>36</v>
      </c>
      <c r="B42" s="92"/>
      <c r="C42" s="92"/>
      <c r="D42" s="33"/>
      <c r="E42" s="33"/>
      <c r="F42" s="33"/>
      <c r="G42" s="33"/>
      <c r="H42" s="33"/>
      <c r="I42" s="93"/>
      <c r="J42" s="93"/>
      <c r="K42" s="19"/>
      <c r="M42" s="23" t="str">
        <f t="shared" si="0"/>
        <v xml:space="preserve">             --36</v>
      </c>
      <c r="V42" s="23" t="str">
        <f t="shared" si="1"/>
        <v xml:space="preserve">      --36</v>
      </c>
    </row>
    <row r="43" spans="1:22">
      <c r="A43" s="59">
        <v>37</v>
      </c>
      <c r="B43" s="91"/>
      <c r="C43" s="91"/>
      <c r="D43" s="33"/>
      <c r="E43" s="33"/>
      <c r="F43" s="33"/>
      <c r="G43" s="33"/>
      <c r="H43" s="33"/>
      <c r="I43" s="35"/>
      <c r="J43" s="35"/>
      <c r="K43" s="90"/>
      <c r="M43" s="23" t="str">
        <f t="shared" si="0"/>
        <v xml:space="preserve">             --37</v>
      </c>
      <c r="V43" s="23" t="str">
        <f t="shared" si="1"/>
        <v xml:space="preserve">      --37</v>
      </c>
    </row>
    <row r="44" spans="1:22">
      <c r="A44" s="59">
        <v>38</v>
      </c>
      <c r="B44" s="91"/>
      <c r="C44" s="91"/>
      <c r="D44" s="33"/>
      <c r="E44" s="33"/>
      <c r="F44" s="33"/>
      <c r="G44" s="33"/>
      <c r="H44" s="33"/>
      <c r="I44" s="35"/>
      <c r="J44" s="35"/>
      <c r="K44" s="90"/>
      <c r="M44" s="23" t="str">
        <f t="shared" si="0"/>
        <v xml:space="preserve">             --38</v>
      </c>
      <c r="V44" s="23" t="str">
        <f t="shared" si="1"/>
        <v xml:space="preserve">      --38</v>
      </c>
    </row>
    <row r="45" spans="1:22">
      <c r="A45" s="59">
        <v>39</v>
      </c>
      <c r="B45" s="91"/>
      <c r="C45" s="91"/>
      <c r="D45" s="33"/>
      <c r="E45" s="33"/>
      <c r="F45" s="33"/>
      <c r="G45" s="33"/>
      <c r="H45" s="33"/>
      <c r="I45" s="35"/>
      <c r="J45" s="35"/>
      <c r="K45" s="90"/>
      <c r="M45" s="23" t="str">
        <f t="shared" si="0"/>
        <v xml:space="preserve">             --39</v>
      </c>
      <c r="V45" s="23" t="str">
        <f t="shared" si="1"/>
        <v xml:space="preserve">      --39</v>
      </c>
    </row>
    <row r="46" spans="1:22">
      <c r="A46" s="59">
        <v>40</v>
      </c>
      <c r="B46" s="91"/>
      <c r="C46" s="91"/>
      <c r="D46" s="33"/>
      <c r="E46" s="33"/>
      <c r="F46" s="35"/>
      <c r="G46" s="33"/>
      <c r="H46" s="33"/>
      <c r="I46" s="35"/>
      <c r="J46" s="35"/>
      <c r="K46" s="90"/>
      <c r="M46" s="23" t="str">
        <f t="shared" si="0"/>
        <v xml:space="preserve">             --40</v>
      </c>
      <c r="V46" s="23" t="str">
        <f t="shared" si="1"/>
        <v xml:space="preserve">      --40</v>
      </c>
    </row>
    <row r="47" spans="1:22">
      <c r="A47" s="59">
        <v>41</v>
      </c>
      <c r="B47" s="91"/>
      <c r="C47" s="91"/>
      <c r="D47" s="33"/>
      <c r="E47" s="33"/>
      <c r="F47" s="33"/>
      <c r="G47" s="33"/>
      <c r="H47" s="33"/>
      <c r="I47" s="35"/>
      <c r="J47" s="35"/>
      <c r="K47" s="90"/>
      <c r="M47" s="23" t="str">
        <f t="shared" si="0"/>
        <v xml:space="preserve">             --41</v>
      </c>
      <c r="V47" s="23" t="str">
        <f t="shared" si="1"/>
        <v xml:space="preserve">      --41</v>
      </c>
    </row>
    <row r="48" spans="1:22">
      <c r="A48" s="59">
        <v>42</v>
      </c>
      <c r="B48" s="91"/>
      <c r="C48" s="2"/>
      <c r="D48" s="38"/>
      <c r="E48" s="39"/>
      <c r="F48" s="33"/>
      <c r="G48" s="33"/>
      <c r="H48" s="33"/>
      <c r="I48" s="93"/>
      <c r="J48" s="93"/>
      <c r="K48" s="19"/>
      <c r="M48" s="23" t="str">
        <f t="shared" si="0"/>
        <v xml:space="preserve">             --42</v>
      </c>
      <c r="V48" s="23" t="str">
        <f t="shared" si="1"/>
        <v xml:space="preserve">      --42</v>
      </c>
    </row>
    <row r="49" spans="1:22">
      <c r="A49" s="59">
        <v>43</v>
      </c>
      <c r="B49" s="92"/>
      <c r="C49" s="92"/>
      <c r="D49" s="33"/>
      <c r="E49" s="33"/>
      <c r="F49" s="33"/>
      <c r="G49" s="33"/>
      <c r="H49" s="33"/>
      <c r="I49" s="93"/>
      <c r="J49" s="93"/>
      <c r="K49" s="19"/>
      <c r="M49" s="23" t="str">
        <f t="shared" si="0"/>
        <v xml:space="preserve">             --43</v>
      </c>
      <c r="V49" s="23" t="str">
        <f t="shared" si="1"/>
        <v xml:space="preserve">      --43</v>
      </c>
    </row>
    <row r="50" spans="1:22">
      <c r="A50" s="59">
        <v>44</v>
      </c>
      <c r="B50" s="91"/>
      <c r="C50" s="91"/>
      <c r="D50" s="33"/>
      <c r="E50" s="33"/>
      <c r="F50" s="33"/>
      <c r="G50" s="33"/>
      <c r="H50" s="33"/>
      <c r="I50" s="35"/>
      <c r="J50" s="35"/>
      <c r="K50" s="90"/>
      <c r="M50" s="23" t="str">
        <f t="shared" si="0"/>
        <v xml:space="preserve">             --44</v>
      </c>
      <c r="V50" s="23" t="str">
        <f t="shared" si="1"/>
        <v xml:space="preserve">      --44</v>
      </c>
    </row>
    <row r="51" spans="1:22">
      <c r="A51" s="59">
        <v>45</v>
      </c>
      <c r="B51" s="91"/>
      <c r="C51" s="91"/>
      <c r="D51" s="33"/>
      <c r="E51" s="33"/>
      <c r="F51" s="33"/>
      <c r="G51" s="33"/>
      <c r="H51" s="33"/>
      <c r="I51" s="35"/>
      <c r="J51" s="35"/>
      <c r="K51" s="90"/>
      <c r="M51" s="23" t="str">
        <f t="shared" si="0"/>
        <v xml:space="preserve">             --45</v>
      </c>
      <c r="V51" s="23" t="str">
        <f t="shared" si="1"/>
        <v xml:space="preserve">      --45</v>
      </c>
    </row>
    <row r="52" spans="1:22">
      <c r="A52" s="59">
        <v>46</v>
      </c>
      <c r="B52" s="91"/>
      <c r="C52" s="91"/>
      <c r="D52" s="17"/>
      <c r="E52" s="33"/>
      <c r="F52" s="35"/>
      <c r="G52" s="33"/>
      <c r="H52" s="33"/>
      <c r="I52" s="35"/>
      <c r="J52" s="35"/>
      <c r="K52" s="90"/>
      <c r="M52" s="23" t="str">
        <f t="shared" si="0"/>
        <v xml:space="preserve">             --46</v>
      </c>
      <c r="V52" s="23" t="str">
        <f t="shared" si="1"/>
        <v xml:space="preserve">      --46</v>
      </c>
    </row>
    <row r="53" spans="1:22">
      <c r="A53" s="59">
        <v>47</v>
      </c>
      <c r="B53" s="91"/>
      <c r="C53" s="91"/>
      <c r="D53" s="33"/>
      <c r="E53" s="33"/>
      <c r="F53" s="33"/>
      <c r="G53" s="33"/>
      <c r="H53" s="33"/>
      <c r="I53" s="35"/>
      <c r="J53" s="35"/>
      <c r="K53" s="90"/>
      <c r="M53" s="23" t="str">
        <f t="shared" si="0"/>
        <v xml:space="preserve">             --47</v>
      </c>
      <c r="V53" s="23" t="str">
        <f t="shared" si="1"/>
        <v xml:space="preserve">      --47</v>
      </c>
    </row>
    <row r="54" spans="1:22">
      <c r="A54" s="59">
        <v>48</v>
      </c>
      <c r="B54" s="91"/>
      <c r="C54" s="91"/>
      <c r="D54" s="33"/>
      <c r="E54" s="33"/>
      <c r="F54" s="33"/>
      <c r="G54" s="33"/>
      <c r="H54" s="33"/>
      <c r="I54" s="35"/>
      <c r="J54" s="35"/>
      <c r="K54" s="90"/>
      <c r="M54" s="23" t="str">
        <f t="shared" si="0"/>
        <v xml:space="preserve">             --48</v>
      </c>
      <c r="V54" s="23" t="str">
        <f t="shared" si="1"/>
        <v xml:space="preserve">      --48</v>
      </c>
    </row>
    <row r="55" spans="1:22">
      <c r="A55" s="59">
        <v>49</v>
      </c>
      <c r="B55" s="92"/>
      <c r="C55" s="92"/>
      <c r="D55" s="33"/>
      <c r="E55" s="33"/>
      <c r="F55" s="33"/>
      <c r="G55" s="33"/>
      <c r="H55" s="33"/>
      <c r="I55" s="93"/>
      <c r="J55" s="93"/>
      <c r="K55" s="19"/>
      <c r="M55" s="23" t="str">
        <f t="shared" si="0"/>
        <v xml:space="preserve">             --49</v>
      </c>
      <c r="V55" s="23" t="str">
        <f t="shared" si="1"/>
        <v xml:space="preserve">      --49</v>
      </c>
    </row>
    <row r="56" spans="1:22">
      <c r="A56" s="59">
        <v>50</v>
      </c>
      <c r="B56" s="92"/>
      <c r="C56" s="92"/>
      <c r="D56" s="33"/>
      <c r="E56" s="33"/>
      <c r="F56" s="33"/>
      <c r="G56" s="33"/>
      <c r="H56" s="33"/>
      <c r="I56" s="93"/>
      <c r="J56" s="93"/>
      <c r="K56" s="19"/>
      <c r="M56" s="23" t="str">
        <f t="shared" si="0"/>
        <v xml:space="preserve">             --50</v>
      </c>
      <c r="V56" s="23" t="str">
        <f t="shared" si="1"/>
        <v xml:space="preserve">      --50</v>
      </c>
    </row>
    <row r="57" spans="1:22">
      <c r="A57" s="59">
        <v>51</v>
      </c>
      <c r="B57" s="92"/>
      <c r="C57" s="92"/>
      <c r="D57" s="33"/>
      <c r="E57" s="33"/>
      <c r="F57" s="33"/>
      <c r="G57" s="33"/>
      <c r="H57" s="33"/>
      <c r="I57" s="93"/>
      <c r="J57" s="93"/>
      <c r="K57" s="19"/>
      <c r="M57" s="23" t="str">
        <f t="shared" si="0"/>
        <v xml:space="preserve">             --51</v>
      </c>
      <c r="V57" s="23" t="str">
        <f t="shared" si="1"/>
        <v xml:space="preserve">      --51</v>
      </c>
    </row>
    <row r="58" spans="1:22">
      <c r="A58" s="59">
        <v>52</v>
      </c>
      <c r="B58" s="92"/>
      <c r="C58" s="92"/>
      <c r="D58" s="33"/>
      <c r="E58" s="33"/>
      <c r="F58" s="33"/>
      <c r="G58" s="33"/>
      <c r="H58" s="33"/>
      <c r="I58" s="93"/>
      <c r="J58" s="93"/>
      <c r="K58" s="19"/>
      <c r="M58" s="23" t="str">
        <f t="shared" si="0"/>
        <v xml:space="preserve">             --52</v>
      </c>
      <c r="V58" s="23" t="str">
        <f t="shared" si="1"/>
        <v xml:space="preserve">      --52</v>
      </c>
    </row>
    <row r="59" spans="1:22">
      <c r="A59" s="59">
        <v>53</v>
      </c>
      <c r="B59" s="92"/>
      <c r="C59" s="92"/>
      <c r="D59" s="33"/>
      <c r="E59" s="33"/>
      <c r="F59" s="33"/>
      <c r="G59" s="33"/>
      <c r="H59" s="33"/>
      <c r="I59" s="93"/>
      <c r="J59" s="93"/>
      <c r="K59" s="19"/>
      <c r="M59" s="23" t="str">
        <f t="shared" si="0"/>
        <v xml:space="preserve">             --53</v>
      </c>
      <c r="V59" s="23" t="str">
        <f t="shared" si="1"/>
        <v xml:space="preserve">      --53</v>
      </c>
    </row>
    <row r="60" spans="1:22">
      <c r="A60" s="59">
        <v>54</v>
      </c>
      <c r="B60" s="92"/>
      <c r="C60" s="92"/>
      <c r="D60" s="33"/>
      <c r="E60" s="33"/>
      <c r="F60" s="33"/>
      <c r="G60" s="33"/>
      <c r="H60" s="33"/>
      <c r="I60" s="93"/>
      <c r="J60" s="93"/>
      <c r="K60" s="19"/>
      <c r="M60" s="23" t="str">
        <f t="shared" si="0"/>
        <v xml:space="preserve">             --54</v>
      </c>
      <c r="V60" s="23" t="str">
        <f t="shared" si="1"/>
        <v xml:space="preserve">      --54</v>
      </c>
    </row>
    <row r="61" spans="1:22">
      <c r="A61" s="59">
        <v>55</v>
      </c>
      <c r="B61" s="92"/>
      <c r="C61" s="92"/>
      <c r="D61" s="33"/>
      <c r="E61" s="33"/>
      <c r="F61" s="33"/>
      <c r="G61" s="33"/>
      <c r="H61" s="33"/>
      <c r="I61" s="93"/>
      <c r="J61" s="93"/>
      <c r="K61" s="19"/>
      <c r="M61" s="23" t="str">
        <f t="shared" si="0"/>
        <v xml:space="preserve">             --55</v>
      </c>
      <c r="V61" s="23" t="str">
        <f t="shared" si="1"/>
        <v xml:space="preserve">      --55</v>
      </c>
    </row>
    <row r="62" spans="1:22">
      <c r="A62" s="59">
        <v>56</v>
      </c>
      <c r="B62" s="92"/>
      <c r="C62" s="92"/>
      <c r="D62" s="33"/>
      <c r="E62" s="33"/>
      <c r="F62" s="33"/>
      <c r="G62" s="33"/>
      <c r="H62" s="33"/>
      <c r="I62" s="93"/>
      <c r="J62" s="93"/>
      <c r="K62" s="19"/>
      <c r="M62" s="23" t="str">
        <f t="shared" si="0"/>
        <v xml:space="preserve">             --56</v>
      </c>
      <c r="V62" s="23" t="str">
        <f t="shared" si="1"/>
        <v xml:space="preserve">      --56</v>
      </c>
    </row>
    <row r="63" spans="1:22">
      <c r="A63" s="59">
        <v>57</v>
      </c>
      <c r="B63" s="92"/>
      <c r="C63" s="92"/>
      <c r="D63" s="33"/>
      <c r="E63" s="33"/>
      <c r="F63" s="33"/>
      <c r="G63" s="33"/>
      <c r="H63" s="33"/>
      <c r="I63" s="93"/>
      <c r="J63" s="93"/>
      <c r="K63" s="19"/>
      <c r="M63" s="23" t="str">
        <f t="shared" si="0"/>
        <v xml:space="preserve">             --57</v>
      </c>
      <c r="V63" s="23" t="str">
        <f t="shared" si="1"/>
        <v xml:space="preserve">      --57</v>
      </c>
    </row>
    <row r="64" spans="1:22">
      <c r="A64" s="59">
        <v>58</v>
      </c>
      <c r="B64" s="92"/>
      <c r="C64" s="92"/>
      <c r="D64" s="33"/>
      <c r="E64" s="33"/>
      <c r="F64" s="33"/>
      <c r="G64" s="33"/>
      <c r="H64" s="33"/>
      <c r="I64" s="93"/>
      <c r="J64" s="93"/>
      <c r="K64" s="19"/>
      <c r="M64" s="23" t="str">
        <f t="shared" si="0"/>
        <v xml:space="preserve">             --58</v>
      </c>
      <c r="V64" s="23" t="str">
        <f t="shared" si="1"/>
        <v xml:space="preserve">      --58</v>
      </c>
    </row>
    <row r="65" spans="1:22">
      <c r="A65" s="59">
        <v>59</v>
      </c>
      <c r="B65" s="92"/>
      <c r="C65" s="92"/>
      <c r="D65" s="33"/>
      <c r="E65" s="33"/>
      <c r="F65" s="33"/>
      <c r="G65" s="33"/>
      <c r="H65" s="33"/>
      <c r="I65" s="93"/>
      <c r="J65" s="93"/>
      <c r="K65" s="19"/>
      <c r="M65" s="23" t="str">
        <f t="shared" si="0"/>
        <v xml:space="preserve">             --59</v>
      </c>
      <c r="V65" s="23" t="str">
        <f t="shared" si="1"/>
        <v xml:space="preserve">      --59</v>
      </c>
    </row>
    <row r="66" spans="1:22">
      <c r="A66" s="59">
        <v>60</v>
      </c>
      <c r="B66" s="93"/>
      <c r="C66" s="92"/>
      <c r="D66" s="33"/>
      <c r="E66" s="33"/>
      <c r="F66" s="33"/>
      <c r="G66" s="33"/>
      <c r="H66" s="33"/>
      <c r="I66" s="93"/>
      <c r="J66" s="93"/>
      <c r="K66" s="19"/>
      <c r="M66" s="23" t="str">
        <f t="shared" si="0"/>
        <v xml:space="preserve">             --60</v>
      </c>
      <c r="V66" s="23" t="str">
        <f t="shared" si="1"/>
        <v xml:space="preserve">      --60</v>
      </c>
    </row>
    <row r="67" spans="1:22">
      <c r="A67" s="59">
        <v>61</v>
      </c>
      <c r="B67" s="93"/>
      <c r="C67" s="92"/>
      <c r="D67" s="33"/>
      <c r="E67" s="33"/>
      <c r="F67" s="33"/>
      <c r="G67" s="33"/>
      <c r="H67" s="33"/>
      <c r="I67" s="93"/>
      <c r="J67" s="93"/>
      <c r="K67" s="19"/>
      <c r="M67" s="23" t="str">
        <f t="shared" si="0"/>
        <v xml:space="preserve">             --61</v>
      </c>
      <c r="V67" s="23" t="str">
        <f t="shared" si="1"/>
        <v xml:space="preserve">      --61</v>
      </c>
    </row>
    <row r="68" spans="1:22">
      <c r="A68" s="59">
        <v>62</v>
      </c>
      <c r="B68" s="93"/>
      <c r="C68" s="92"/>
      <c r="D68" s="33"/>
      <c r="E68" s="33"/>
      <c r="F68" s="33"/>
      <c r="G68" s="33"/>
      <c r="H68" s="33"/>
      <c r="I68" s="93"/>
      <c r="J68" s="93"/>
      <c r="K68" s="19"/>
      <c r="M68" s="23" t="str">
        <f t="shared" si="0"/>
        <v xml:space="preserve">             --62</v>
      </c>
      <c r="V68" s="23" t="str">
        <f t="shared" si="1"/>
        <v xml:space="preserve">      --62</v>
      </c>
    </row>
    <row r="69" spans="1:22">
      <c r="A69" s="59">
        <v>63</v>
      </c>
      <c r="B69" s="93"/>
      <c r="C69" s="92"/>
      <c r="D69" s="33"/>
      <c r="E69" s="33"/>
      <c r="F69" s="33"/>
      <c r="G69" s="33"/>
      <c r="H69" s="33"/>
      <c r="I69" s="93"/>
      <c r="J69" s="93"/>
      <c r="K69" s="19"/>
      <c r="M69" s="23" t="str">
        <f t="shared" si="0"/>
        <v xml:space="preserve">             --63</v>
      </c>
      <c r="V69" s="23" t="str">
        <f t="shared" si="1"/>
        <v xml:space="preserve">      --63</v>
      </c>
    </row>
    <row r="70" spans="1:22">
      <c r="A70" s="59">
        <v>64</v>
      </c>
      <c r="B70" s="93"/>
      <c r="C70" s="92"/>
      <c r="D70" s="33"/>
      <c r="E70" s="33"/>
      <c r="F70" s="33"/>
      <c r="G70" s="33"/>
      <c r="H70" s="33"/>
      <c r="I70" s="93"/>
      <c r="J70" s="93"/>
      <c r="K70" s="19"/>
      <c r="M70" s="23" t="str">
        <f t="shared" si="0"/>
        <v xml:space="preserve">             --64</v>
      </c>
      <c r="V70" s="23" t="str">
        <f t="shared" si="1"/>
        <v xml:space="preserve">      --64</v>
      </c>
    </row>
    <row r="71" spans="1:22">
      <c r="A71" s="59">
        <v>65</v>
      </c>
      <c r="B71" s="93"/>
      <c r="C71" s="92"/>
      <c r="D71" s="33"/>
      <c r="E71" s="33"/>
      <c r="F71" s="33"/>
      <c r="G71" s="33"/>
      <c r="H71" s="33"/>
      <c r="I71" s="93"/>
      <c r="J71" s="93"/>
      <c r="K71" s="19"/>
      <c r="M71" s="23" t="str">
        <f t="shared" si="0"/>
        <v xml:space="preserve">             --65</v>
      </c>
      <c r="V71" s="23" t="str">
        <f t="shared" si="1"/>
        <v xml:space="preserve">      --65</v>
      </c>
    </row>
    <row r="72" spans="1:22">
      <c r="A72" s="59">
        <v>66</v>
      </c>
      <c r="B72" s="93"/>
      <c r="C72" s="92"/>
      <c r="D72" s="33"/>
      <c r="E72" s="33"/>
      <c r="F72" s="33"/>
      <c r="G72" s="33"/>
      <c r="H72" s="33"/>
      <c r="I72" s="93"/>
      <c r="J72" s="93"/>
      <c r="K72" s="19"/>
      <c r="M72" s="23" t="str">
        <f t="shared" ref="M72:M106" si="2">REPT(" ",13)&amp;IF(ISBLANK($B72),"--"&amp;$A72,
LEFT(SUBSTITUTE($B72," ","*")&amp;REPT(" ",30),30)&amp;
LEFT(IF(ISBLANK($D72),"",IF(OR(UPPER($D72)="DATE",UPPER($D72)="CLOB",UPPER($D72)="BLOB",UPPER($D72)="LONG",UPPER($D72)="TIMESTAMP"),UPPER($D72),IF(ISBLANK($E72),UPPER($D72),UPPER($D72)&amp;"("&amp;$E72&amp;")")))&amp;REPT(" ",15),15)&amp;
LEFT(IF(ISBLANK($F72),"","DEFAULT  "&amp;$F72)&amp;REPT(" ",19),19)&amp;
LEFT(IF(ISBLANK($J72),""," identity(" &amp; $J72 &amp; ") ")&amp;REPT(" ",17),17)&amp;
LEFT(IF(ISBLANK($H72),""," NOT NULL")&amp;REPT(" ",9),9)&amp;
IF(AND(ISBLANK(G$7),ISBLANK($B73)),"",","))</f>
        <v xml:space="preserve">             --66</v>
      </c>
      <c r="V72" s="23" t="str">
        <f t="shared" ref="V72:V106" si="3">REPT(" ",6)&amp;
IF(ISBLANK($B72),"--"&amp;UPPER($A72),LEFT(SUBSTITUTE(UPPER($B72)," ","*")&amp;REPT(" ",30),30)&amp;
LEFT("AS " &amp; LOWER(MID(SUBSTITUTE(PROPER($B72),"_",""),1,1))&amp;MID(SUBSTITUTE(PROPER($B72),"_",""),2,LEN(SUBSTITUTE(PROPER($B72),"_","")))&amp;REPT(" ",30),30)&amp;
LEFT(IF(ISBLANK($C72),"/**/","/* "&amp;$C72)&amp;" */"&amp;REPT(" ",30),30))</f>
        <v xml:space="preserve">      --66</v>
      </c>
    </row>
    <row r="73" spans="1:22">
      <c r="A73" s="59">
        <v>67</v>
      </c>
      <c r="B73" s="93"/>
      <c r="C73" s="92"/>
      <c r="D73" s="33"/>
      <c r="E73" s="33"/>
      <c r="F73" s="33"/>
      <c r="G73" s="33"/>
      <c r="H73" s="33"/>
      <c r="I73" s="93"/>
      <c r="J73" s="93"/>
      <c r="K73" s="19"/>
      <c r="M73" s="23" t="str">
        <f t="shared" si="2"/>
        <v xml:space="preserve">             --67</v>
      </c>
      <c r="V73" s="23" t="str">
        <f t="shared" si="3"/>
        <v xml:space="preserve">      --67</v>
      </c>
    </row>
    <row r="74" spans="1:22">
      <c r="A74" s="59">
        <v>68</v>
      </c>
      <c r="B74" s="93"/>
      <c r="C74" s="92"/>
      <c r="D74" s="33"/>
      <c r="E74" s="33"/>
      <c r="F74" s="33"/>
      <c r="G74" s="33"/>
      <c r="H74" s="33"/>
      <c r="I74" s="93"/>
      <c r="J74" s="93"/>
      <c r="K74" s="19"/>
      <c r="M74" s="23" t="str">
        <f t="shared" si="2"/>
        <v xml:space="preserve">             --68</v>
      </c>
      <c r="V74" s="23" t="str">
        <f t="shared" si="3"/>
        <v xml:space="preserve">      --68</v>
      </c>
    </row>
    <row r="75" spans="1:22">
      <c r="A75" s="59">
        <v>69</v>
      </c>
      <c r="B75" s="93"/>
      <c r="C75" s="92"/>
      <c r="D75" s="33"/>
      <c r="E75" s="33"/>
      <c r="F75" s="33"/>
      <c r="G75" s="33"/>
      <c r="H75" s="33"/>
      <c r="I75" s="93"/>
      <c r="J75" s="93"/>
      <c r="K75" s="19"/>
      <c r="M75" s="23" t="str">
        <f t="shared" si="2"/>
        <v xml:space="preserve">             --69</v>
      </c>
      <c r="V75" s="23" t="str">
        <f t="shared" si="3"/>
        <v xml:space="preserve">      --69</v>
      </c>
    </row>
    <row r="76" spans="1:22">
      <c r="A76" s="59">
        <v>70</v>
      </c>
      <c r="B76" s="93"/>
      <c r="C76" s="92"/>
      <c r="D76" s="33"/>
      <c r="E76" s="33"/>
      <c r="F76" s="33"/>
      <c r="G76" s="33"/>
      <c r="H76" s="33"/>
      <c r="I76" s="93"/>
      <c r="J76" s="93"/>
      <c r="K76" s="19"/>
      <c r="M76" s="23" t="str">
        <f t="shared" si="2"/>
        <v xml:space="preserve">             --70</v>
      </c>
      <c r="V76" s="23" t="str">
        <f t="shared" si="3"/>
        <v xml:space="preserve">      --70</v>
      </c>
    </row>
    <row r="77" spans="1:22">
      <c r="A77" s="59">
        <v>71</v>
      </c>
      <c r="B77" s="93"/>
      <c r="C77" s="92"/>
      <c r="D77" s="33"/>
      <c r="E77" s="33"/>
      <c r="F77" s="36"/>
      <c r="G77" s="33"/>
      <c r="H77" s="33"/>
      <c r="I77" s="93"/>
      <c r="J77" s="93"/>
      <c r="K77" s="19"/>
      <c r="M77" s="23" t="str">
        <f t="shared" si="2"/>
        <v xml:space="preserve">             --71</v>
      </c>
      <c r="V77" s="23" t="str">
        <f t="shared" si="3"/>
        <v xml:space="preserve">      --71</v>
      </c>
    </row>
    <row r="78" spans="1:22">
      <c r="A78" s="59">
        <v>72</v>
      </c>
      <c r="B78" s="93"/>
      <c r="C78" s="92"/>
      <c r="D78" s="33"/>
      <c r="E78" s="33"/>
      <c r="F78" s="33"/>
      <c r="G78" s="33"/>
      <c r="H78" s="33"/>
      <c r="I78" s="93"/>
      <c r="J78" s="93"/>
      <c r="K78" s="19"/>
      <c r="M78" s="23" t="str">
        <f t="shared" si="2"/>
        <v xml:space="preserve">             --72</v>
      </c>
      <c r="V78" s="23" t="str">
        <f t="shared" si="3"/>
        <v xml:space="preserve">      --72</v>
      </c>
    </row>
    <row r="79" spans="1:22">
      <c r="A79" s="59">
        <v>73</v>
      </c>
      <c r="B79" s="93"/>
      <c r="C79" s="92"/>
      <c r="D79" s="33"/>
      <c r="E79" s="33"/>
      <c r="F79" s="36"/>
      <c r="G79" s="33"/>
      <c r="H79" s="33"/>
      <c r="I79" s="93"/>
      <c r="J79" s="93"/>
      <c r="K79" s="19"/>
      <c r="M79" s="23" t="str">
        <f t="shared" si="2"/>
        <v xml:space="preserve">             --73</v>
      </c>
      <c r="V79" s="23" t="str">
        <f t="shared" si="3"/>
        <v xml:space="preserve">      --73</v>
      </c>
    </row>
    <row r="80" spans="1:22">
      <c r="A80" s="59">
        <v>74</v>
      </c>
      <c r="B80" s="93"/>
      <c r="C80" s="92"/>
      <c r="D80" s="33"/>
      <c r="E80" s="33"/>
      <c r="F80" s="33"/>
      <c r="G80" s="33"/>
      <c r="H80" s="33"/>
      <c r="I80" s="93"/>
      <c r="J80" s="93"/>
      <c r="K80" s="19"/>
      <c r="M80" s="23" t="str">
        <f t="shared" si="2"/>
        <v xml:space="preserve">             --74</v>
      </c>
      <c r="V80" s="23" t="str">
        <f t="shared" si="3"/>
        <v xml:space="preserve">      --74</v>
      </c>
    </row>
    <row r="81" spans="1:22">
      <c r="A81" s="59">
        <v>75</v>
      </c>
      <c r="B81" s="93"/>
      <c r="C81" s="92"/>
      <c r="D81" s="33"/>
      <c r="E81" s="33"/>
      <c r="F81" s="33"/>
      <c r="G81" s="33"/>
      <c r="H81" s="33"/>
      <c r="I81" s="93"/>
      <c r="J81" s="93"/>
      <c r="K81" s="19"/>
      <c r="M81" s="23" t="str">
        <f t="shared" si="2"/>
        <v xml:space="preserve">             --75</v>
      </c>
      <c r="V81" s="23" t="str">
        <f t="shared" si="3"/>
        <v xml:space="preserve">      --75</v>
      </c>
    </row>
    <row r="82" spans="1:22">
      <c r="A82" s="59">
        <v>76</v>
      </c>
      <c r="B82" s="93"/>
      <c r="C82" s="92"/>
      <c r="D82" s="33"/>
      <c r="E82" s="33"/>
      <c r="F82" s="33"/>
      <c r="G82" s="33"/>
      <c r="H82" s="33"/>
      <c r="I82" s="93"/>
      <c r="J82" s="93"/>
      <c r="K82" s="19"/>
      <c r="M82" s="23" t="str">
        <f t="shared" si="2"/>
        <v xml:space="preserve">             --76</v>
      </c>
      <c r="V82" s="23" t="str">
        <f t="shared" si="3"/>
        <v xml:space="preserve">      --76</v>
      </c>
    </row>
    <row r="83" spans="1:22">
      <c r="A83" s="59">
        <v>77</v>
      </c>
      <c r="B83" s="93"/>
      <c r="C83" s="92"/>
      <c r="D83" s="33"/>
      <c r="E83" s="33"/>
      <c r="F83" s="33"/>
      <c r="G83" s="33"/>
      <c r="H83" s="33"/>
      <c r="I83" s="93"/>
      <c r="J83" s="93"/>
      <c r="K83" s="19"/>
      <c r="M83" s="23" t="str">
        <f t="shared" si="2"/>
        <v xml:space="preserve">             --77</v>
      </c>
      <c r="V83" s="23" t="str">
        <f t="shared" si="3"/>
        <v xml:space="preserve">      --77</v>
      </c>
    </row>
    <row r="84" spans="1:22">
      <c r="A84" s="59">
        <v>78</v>
      </c>
      <c r="B84" s="93"/>
      <c r="C84" s="92"/>
      <c r="D84" s="33"/>
      <c r="E84" s="33"/>
      <c r="F84" s="33"/>
      <c r="G84" s="33"/>
      <c r="H84" s="33"/>
      <c r="I84" s="93"/>
      <c r="J84" s="93"/>
      <c r="K84" s="19"/>
      <c r="M84" s="23" t="str">
        <f t="shared" si="2"/>
        <v xml:space="preserve">             --78</v>
      </c>
      <c r="V84" s="23" t="str">
        <f t="shared" si="3"/>
        <v xml:space="preserve">      --78</v>
      </c>
    </row>
    <row r="85" spans="1:22">
      <c r="A85" s="59">
        <v>79</v>
      </c>
      <c r="B85" s="93"/>
      <c r="C85" s="92"/>
      <c r="D85" s="33"/>
      <c r="E85" s="33"/>
      <c r="F85" s="33"/>
      <c r="G85" s="33"/>
      <c r="H85" s="33"/>
      <c r="I85" s="93"/>
      <c r="J85" s="93"/>
      <c r="K85" s="19"/>
      <c r="M85" s="23" t="str">
        <f t="shared" si="2"/>
        <v xml:space="preserve">             --79</v>
      </c>
      <c r="V85" s="23" t="str">
        <f t="shared" si="3"/>
        <v xml:space="preserve">      --79</v>
      </c>
    </row>
    <row r="86" spans="1:22">
      <c r="A86" s="59">
        <v>80</v>
      </c>
      <c r="B86" s="93"/>
      <c r="C86" s="92"/>
      <c r="D86" s="33"/>
      <c r="E86" s="33"/>
      <c r="F86" s="33"/>
      <c r="G86" s="33"/>
      <c r="H86" s="33"/>
      <c r="I86" s="93"/>
      <c r="J86" s="93"/>
      <c r="K86" s="19"/>
      <c r="M86" s="23" t="str">
        <f t="shared" si="2"/>
        <v xml:space="preserve">             --80</v>
      </c>
      <c r="V86" s="23" t="str">
        <f t="shared" si="3"/>
        <v xml:space="preserve">      --80</v>
      </c>
    </row>
    <row r="87" spans="1:22">
      <c r="A87" s="59">
        <v>81</v>
      </c>
      <c r="B87" s="93"/>
      <c r="C87" s="92"/>
      <c r="D87" s="33"/>
      <c r="E87" s="33"/>
      <c r="F87" s="33"/>
      <c r="G87" s="33"/>
      <c r="H87" s="33"/>
      <c r="I87" s="93"/>
      <c r="J87" s="93"/>
      <c r="K87" s="19"/>
      <c r="M87" s="23" t="str">
        <f t="shared" si="2"/>
        <v xml:space="preserve">             --81</v>
      </c>
      <c r="V87" s="23" t="str">
        <f t="shared" si="3"/>
        <v xml:space="preserve">      --81</v>
      </c>
    </row>
    <row r="88" spans="1:22">
      <c r="A88" s="59">
        <v>82</v>
      </c>
      <c r="B88" s="93"/>
      <c r="C88" s="92"/>
      <c r="D88" s="33"/>
      <c r="E88" s="33"/>
      <c r="F88" s="33"/>
      <c r="G88" s="33"/>
      <c r="H88" s="33"/>
      <c r="I88" s="93"/>
      <c r="J88" s="93"/>
      <c r="K88" s="19"/>
      <c r="M88" s="23" t="str">
        <f t="shared" si="2"/>
        <v xml:space="preserve">             --82</v>
      </c>
      <c r="V88" s="23" t="str">
        <f t="shared" si="3"/>
        <v xml:space="preserve">      --82</v>
      </c>
    </row>
    <row r="89" spans="1:22">
      <c r="A89" s="59">
        <v>83</v>
      </c>
      <c r="B89" s="93"/>
      <c r="C89" s="92"/>
      <c r="D89" s="33"/>
      <c r="E89" s="33"/>
      <c r="F89" s="33"/>
      <c r="G89" s="33"/>
      <c r="H89" s="33"/>
      <c r="I89" s="93"/>
      <c r="J89" s="93"/>
      <c r="K89" s="19"/>
      <c r="M89" s="23" t="str">
        <f t="shared" si="2"/>
        <v xml:space="preserve">             --83</v>
      </c>
      <c r="V89" s="23" t="str">
        <f t="shared" si="3"/>
        <v xml:space="preserve">      --83</v>
      </c>
    </row>
    <row r="90" spans="1:22">
      <c r="A90" s="59">
        <v>84</v>
      </c>
      <c r="B90" s="93"/>
      <c r="C90" s="92"/>
      <c r="D90" s="33"/>
      <c r="E90" s="33"/>
      <c r="F90" s="33"/>
      <c r="G90" s="33"/>
      <c r="H90" s="33"/>
      <c r="I90" s="93"/>
      <c r="J90" s="93"/>
      <c r="K90" s="19"/>
      <c r="M90" s="23" t="str">
        <f t="shared" si="2"/>
        <v xml:space="preserve">             --84</v>
      </c>
      <c r="V90" s="23" t="str">
        <f t="shared" si="3"/>
        <v xml:space="preserve">      --84</v>
      </c>
    </row>
    <row r="91" spans="1:22">
      <c r="A91" s="59">
        <v>85</v>
      </c>
      <c r="B91" s="93"/>
      <c r="C91" s="92"/>
      <c r="D91" s="33"/>
      <c r="E91" s="33"/>
      <c r="F91" s="33"/>
      <c r="G91" s="33"/>
      <c r="H91" s="33"/>
      <c r="I91" s="93"/>
      <c r="J91" s="93"/>
      <c r="K91" s="19"/>
      <c r="M91" s="23" t="str">
        <f t="shared" si="2"/>
        <v xml:space="preserve">             --85</v>
      </c>
      <c r="V91" s="23" t="str">
        <f t="shared" si="3"/>
        <v xml:space="preserve">      --85</v>
      </c>
    </row>
    <row r="92" spans="1:22">
      <c r="A92" s="59">
        <v>86</v>
      </c>
      <c r="B92" s="93"/>
      <c r="C92" s="92"/>
      <c r="D92" s="33"/>
      <c r="E92" s="33"/>
      <c r="F92" s="33"/>
      <c r="G92" s="33"/>
      <c r="H92" s="33"/>
      <c r="I92" s="93"/>
      <c r="J92" s="93"/>
      <c r="K92" s="19"/>
      <c r="M92" s="23" t="str">
        <f t="shared" si="2"/>
        <v xml:space="preserve">             --86</v>
      </c>
      <c r="V92" s="23" t="str">
        <f t="shared" si="3"/>
        <v xml:space="preserve">      --86</v>
      </c>
    </row>
    <row r="93" spans="1:22">
      <c r="A93" s="59">
        <v>87</v>
      </c>
      <c r="B93" s="93"/>
      <c r="C93" s="92"/>
      <c r="D93" s="33"/>
      <c r="E93" s="33"/>
      <c r="F93" s="33"/>
      <c r="G93" s="33"/>
      <c r="H93" s="33"/>
      <c r="I93" s="93"/>
      <c r="J93" s="93"/>
      <c r="K93" s="19"/>
      <c r="M93" s="23" t="str">
        <f t="shared" si="2"/>
        <v xml:space="preserve">             --87</v>
      </c>
      <c r="V93" s="23" t="str">
        <f t="shared" si="3"/>
        <v xml:space="preserve">      --87</v>
      </c>
    </row>
    <row r="94" spans="1:22">
      <c r="A94" s="59">
        <v>88</v>
      </c>
      <c r="B94" s="93"/>
      <c r="C94" s="92"/>
      <c r="D94" s="33"/>
      <c r="E94" s="33"/>
      <c r="F94" s="33"/>
      <c r="G94" s="33"/>
      <c r="H94" s="33"/>
      <c r="I94" s="93"/>
      <c r="J94" s="93"/>
      <c r="K94" s="19"/>
      <c r="M94" s="23" t="str">
        <f t="shared" si="2"/>
        <v xml:space="preserve">             --88</v>
      </c>
      <c r="V94" s="23" t="str">
        <f t="shared" si="3"/>
        <v xml:space="preserve">      --88</v>
      </c>
    </row>
    <row r="95" spans="1:22">
      <c r="A95" s="59">
        <v>89</v>
      </c>
      <c r="B95" s="93"/>
      <c r="C95" s="92"/>
      <c r="D95" s="33"/>
      <c r="E95" s="33"/>
      <c r="F95" s="33"/>
      <c r="G95" s="33"/>
      <c r="H95" s="33"/>
      <c r="I95" s="93"/>
      <c r="J95" s="93"/>
      <c r="K95" s="19"/>
      <c r="M95" s="23" t="str">
        <f t="shared" si="2"/>
        <v xml:space="preserve">             --89</v>
      </c>
      <c r="V95" s="23" t="str">
        <f t="shared" si="3"/>
        <v xml:space="preserve">      --89</v>
      </c>
    </row>
    <row r="96" spans="1:22">
      <c r="A96" s="59">
        <v>90</v>
      </c>
      <c r="B96" s="93"/>
      <c r="C96" s="92"/>
      <c r="D96" s="33"/>
      <c r="E96" s="33"/>
      <c r="F96" s="33"/>
      <c r="G96" s="33"/>
      <c r="H96" s="33"/>
      <c r="I96" s="93"/>
      <c r="J96" s="93"/>
      <c r="K96" s="19"/>
      <c r="M96" s="23" t="str">
        <f t="shared" si="2"/>
        <v xml:space="preserve">             --90</v>
      </c>
      <c r="V96" s="23" t="str">
        <f t="shared" si="3"/>
        <v xml:space="preserve">      --90</v>
      </c>
    </row>
    <row r="97" spans="1:22">
      <c r="A97" s="59">
        <v>91</v>
      </c>
      <c r="B97" s="93"/>
      <c r="C97" s="92"/>
      <c r="D97" s="33"/>
      <c r="E97" s="33"/>
      <c r="F97" s="36"/>
      <c r="G97" s="33"/>
      <c r="H97" s="33"/>
      <c r="I97" s="93"/>
      <c r="J97" s="93"/>
      <c r="K97" s="19"/>
      <c r="M97" s="23" t="str">
        <f t="shared" si="2"/>
        <v xml:space="preserve">             --91</v>
      </c>
      <c r="V97" s="23" t="str">
        <f t="shared" si="3"/>
        <v xml:space="preserve">      --91</v>
      </c>
    </row>
    <row r="98" spans="1:22">
      <c r="A98" s="59">
        <v>92</v>
      </c>
      <c r="B98" s="2"/>
      <c r="C98" s="2"/>
      <c r="D98" s="33"/>
      <c r="E98" s="33"/>
      <c r="F98" s="33"/>
      <c r="G98" s="33"/>
      <c r="H98" s="33"/>
      <c r="I98" s="93"/>
      <c r="J98" s="93"/>
      <c r="K98" s="19"/>
      <c r="M98" s="23" t="str">
        <f t="shared" si="2"/>
        <v xml:space="preserve">             --92</v>
      </c>
      <c r="V98" s="23" t="str">
        <f t="shared" si="3"/>
        <v xml:space="preserve">      --92</v>
      </c>
    </row>
    <row r="99" spans="1:22">
      <c r="A99" s="59">
        <v>93</v>
      </c>
      <c r="B99" s="2"/>
      <c r="C99" s="2"/>
      <c r="D99" s="33"/>
      <c r="E99" s="33"/>
      <c r="F99" s="33"/>
      <c r="G99" s="33"/>
      <c r="H99" s="33"/>
      <c r="I99" s="33"/>
      <c r="J99" s="33"/>
      <c r="K99" s="19"/>
      <c r="M99" s="23" t="str">
        <f t="shared" si="2"/>
        <v xml:space="preserve">             --93</v>
      </c>
      <c r="V99" s="23" t="str">
        <f t="shared" si="3"/>
        <v xml:space="preserve">      --93</v>
      </c>
    </row>
    <row r="100" spans="1:22">
      <c r="A100" s="59">
        <v>94</v>
      </c>
      <c r="B100" s="93"/>
      <c r="C100" s="92"/>
      <c r="D100" s="33"/>
      <c r="E100" s="33"/>
      <c r="F100" s="33"/>
      <c r="G100" s="33"/>
      <c r="H100" s="33"/>
      <c r="I100" s="33"/>
      <c r="J100" s="33"/>
      <c r="K100" s="19"/>
      <c r="M100" s="23" t="str">
        <f t="shared" si="2"/>
        <v xml:space="preserve">             --94</v>
      </c>
      <c r="V100" s="23" t="str">
        <f t="shared" si="3"/>
        <v xml:space="preserve">      --94</v>
      </c>
    </row>
    <row r="101" spans="1:22">
      <c r="A101" s="59">
        <v>95</v>
      </c>
      <c r="B101" s="2"/>
      <c r="C101" s="2"/>
      <c r="D101" s="33"/>
      <c r="E101" s="33"/>
      <c r="F101" s="33"/>
      <c r="G101" s="33"/>
      <c r="H101" s="33"/>
      <c r="I101" s="93"/>
      <c r="J101" s="93"/>
      <c r="K101" s="19"/>
      <c r="M101" s="23" t="str">
        <f t="shared" si="2"/>
        <v xml:space="preserve">             --95</v>
      </c>
      <c r="V101" s="23" t="str">
        <f t="shared" si="3"/>
        <v xml:space="preserve">      --95</v>
      </c>
    </row>
    <row r="102" spans="1:22">
      <c r="A102" s="59">
        <v>96</v>
      </c>
      <c r="B102" s="2"/>
      <c r="C102" s="97"/>
      <c r="D102" s="38"/>
      <c r="E102" s="39"/>
      <c r="F102" s="40"/>
      <c r="G102" s="44"/>
      <c r="H102" s="42"/>
      <c r="I102" s="41"/>
      <c r="J102" s="41"/>
      <c r="K102" s="43"/>
      <c r="M102" s="23" t="str">
        <f t="shared" si="2"/>
        <v xml:space="preserve">             --96</v>
      </c>
      <c r="V102" s="23" t="str">
        <f t="shared" si="3"/>
        <v xml:space="preserve">      --96</v>
      </c>
    </row>
    <row r="103" spans="1:22">
      <c r="A103" s="59">
        <v>97</v>
      </c>
      <c r="B103" s="2"/>
      <c r="C103" s="2"/>
      <c r="D103" s="33"/>
      <c r="E103" s="46"/>
      <c r="F103" s="33"/>
      <c r="G103" s="33"/>
      <c r="H103" s="33"/>
      <c r="I103" s="33"/>
      <c r="J103" s="33"/>
      <c r="K103" s="19"/>
      <c r="M103" s="23" t="str">
        <f t="shared" si="2"/>
        <v xml:space="preserve">             --97</v>
      </c>
      <c r="V103" s="23" t="str">
        <f t="shared" si="3"/>
        <v xml:space="preserve">      --97</v>
      </c>
    </row>
    <row r="104" spans="1:22">
      <c r="A104" s="59">
        <v>98</v>
      </c>
      <c r="B104" s="2"/>
      <c r="C104" s="2"/>
      <c r="D104" s="33"/>
      <c r="E104" s="46"/>
      <c r="F104" s="33"/>
      <c r="G104" s="33"/>
      <c r="H104" s="33"/>
      <c r="I104" s="33"/>
      <c r="J104" s="33"/>
      <c r="K104" s="19"/>
      <c r="M104" s="23" t="str">
        <f t="shared" si="2"/>
        <v xml:space="preserve">             --98</v>
      </c>
      <c r="V104" s="23" t="str">
        <f t="shared" si="3"/>
        <v xml:space="preserve">      --98</v>
      </c>
    </row>
    <row r="105" spans="1:22">
      <c r="A105" s="59">
        <v>99</v>
      </c>
      <c r="B105" s="2"/>
      <c r="C105" s="2"/>
      <c r="D105" s="33"/>
      <c r="E105" s="46"/>
      <c r="F105" s="36"/>
      <c r="G105" s="33"/>
      <c r="H105" s="33"/>
      <c r="I105" s="93"/>
      <c r="J105" s="93"/>
      <c r="K105" s="19"/>
      <c r="M105" s="23" t="str">
        <f t="shared" si="2"/>
        <v xml:space="preserve">             --99</v>
      </c>
      <c r="V105" s="23" t="str">
        <f t="shared" si="3"/>
        <v xml:space="preserve">      --99</v>
      </c>
    </row>
    <row r="106" spans="1:22">
      <c r="A106" s="59">
        <v>100</v>
      </c>
      <c r="B106" s="97"/>
      <c r="C106" s="91"/>
      <c r="D106" s="33"/>
      <c r="E106" s="46"/>
      <c r="F106" s="33"/>
      <c r="G106" s="33"/>
      <c r="H106" s="33"/>
      <c r="I106" s="93"/>
      <c r="J106" s="93"/>
      <c r="K106" s="19"/>
      <c r="M106" s="23" t="str">
        <f t="shared" si="2"/>
        <v xml:space="preserve">             --100</v>
      </c>
      <c r="V106" s="23" t="str">
        <f t="shared" si="3"/>
        <v xml:space="preserve">      --100</v>
      </c>
    </row>
    <row r="107" spans="1:22">
      <c r="A107" s="30"/>
      <c r="B107" s="27"/>
      <c r="C107" s="27"/>
      <c r="D107" s="30"/>
      <c r="E107" s="30"/>
      <c r="F107" s="27"/>
      <c r="G107" s="27"/>
      <c r="H107" s="27"/>
      <c r="I107" s="27"/>
      <c r="J107" s="27"/>
      <c r="K107" s="27"/>
      <c r="M107" s="23"/>
    </row>
    <row r="108" spans="1:22">
      <c r="B108" s="20" t="s">
        <v>2</v>
      </c>
      <c r="M108" s="24" t="str">
        <f>REPT(" ",13)&amp;IF(ISBLANK($G7),"--","")&amp;"CONSTRAINT   " &amp; "idx_" &amp; $C$3 &amp; "_pk  PRIMARY KEY CLUSTERED ("</f>
        <v xml:space="preserve">             --CONSTRAINT   idx_Products_pk  PRIMARY KEY CLUSTERED (</v>
      </c>
    </row>
    <row r="109" spans="1:22">
      <c r="B109" s="59" t="s">
        <v>5</v>
      </c>
      <c r="C109" s="59" t="s">
        <v>3</v>
      </c>
      <c r="D109" s="59" t="s">
        <v>4</v>
      </c>
      <c r="M109" s="18" t="str">
        <f>REPT(" ",25)&amp;IF($G7="","--"&amp;$A7,"")&amp;IF($G7&lt;&gt;"",IF(LEFT(TRIM($M108),10)="CONSTRAINT"," ",",") &amp; TRIM($B7),"")</f>
        <v xml:space="preserve">                         --1</v>
      </c>
    </row>
    <row r="110" spans="1:22">
      <c r="B110" s="21"/>
      <c r="C110" s="34"/>
      <c r="D110" s="59"/>
      <c r="M110" s="24" t="str">
        <f t="shared" ref="M110:M117" si="4">REPT(" ",25)&amp;IF($G8="","--"&amp;$A8,"")&amp;IF($G8&lt;&gt;"",IF(LEFT(TRIM($M109),10)="CONSTRAINT"," ",",") &amp; TRIM($B8),"")</f>
        <v xml:space="preserve">                         --2</v>
      </c>
    </row>
    <row r="111" spans="1:22">
      <c r="B111" s="21"/>
      <c r="C111" s="97"/>
      <c r="D111" s="21"/>
      <c r="G111" s="29"/>
      <c r="M111" s="24" t="str">
        <f t="shared" si="4"/>
        <v xml:space="preserve">                         --3</v>
      </c>
    </row>
    <row r="112" spans="1:22">
      <c r="B112" s="31"/>
      <c r="C112" s="97"/>
      <c r="D112" s="21"/>
      <c r="G112" s="29"/>
      <c r="M112" s="24" t="str">
        <f t="shared" si="4"/>
        <v xml:space="preserve">                         --4</v>
      </c>
    </row>
    <row r="113" spans="2:17">
      <c r="B113" s="31"/>
      <c r="C113" s="97"/>
      <c r="D113" s="21"/>
      <c r="G113" s="29"/>
      <c r="M113" s="24" t="str">
        <f t="shared" si="4"/>
        <v xml:space="preserve">                         --5</v>
      </c>
    </row>
    <row r="114" spans="2:17">
      <c r="B114" s="31"/>
      <c r="C114" s="97"/>
      <c r="D114" s="21"/>
      <c r="M114" s="24" t="str">
        <f t="shared" si="4"/>
        <v xml:space="preserve">                         --6</v>
      </c>
    </row>
    <row r="115" spans="2:17">
      <c r="B115" s="21"/>
      <c r="C115" s="97"/>
      <c r="D115" s="59"/>
      <c r="M115" s="24" t="str">
        <f t="shared" si="4"/>
        <v xml:space="preserve">                         --7</v>
      </c>
    </row>
    <row r="116" spans="2:17">
      <c r="B116" s="21"/>
      <c r="C116" s="97"/>
      <c r="D116" s="59"/>
      <c r="M116" s="24" t="str">
        <f t="shared" si="4"/>
        <v xml:space="preserve">                         --8</v>
      </c>
    </row>
    <row r="117" spans="2:17">
      <c r="B117" s="21"/>
      <c r="C117" s="97"/>
      <c r="D117" s="59"/>
      <c r="M117" s="24" t="str">
        <f t="shared" si="4"/>
        <v xml:space="preserve">                         --9</v>
      </c>
    </row>
    <row r="118" spans="2:17">
      <c r="M118" s="24" t="str">
        <f>REPT(" ",25)&amp;IF($G16="","--"&amp;$A16,"")&amp;IF($G16&lt;&gt;"",IF(LEFT(TRIM($M117),10)="CONSTRAINT"," ",",") &amp; TRIM($B16),"")</f>
        <v xml:space="preserve">                         --10</v>
      </c>
    </row>
    <row r="119" spans="2:17">
      <c r="B119" s="20" t="s">
        <v>0</v>
      </c>
      <c r="M119" s="61" t="s">
        <v>272</v>
      </c>
    </row>
    <row r="120" spans="2:17">
      <c r="M120" s="26"/>
    </row>
    <row r="121" spans="2:17">
      <c r="M121" s="18" t="str">
        <f>IF(OR(TRIM(UPPER($I$5))="",TRIM(UPPER($I$5))="DEFAULT"),"","ALTER  TABLE  "&amp;$C$3&amp;"  STORAGE  (BUFFER_POOL  "&amp;UPPER($I$5)&amp;");  --KEEP | RECYCLE | DEFAULT")</f>
        <v/>
      </c>
    </row>
    <row r="122" spans="2:17">
      <c r="M122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'상품',                                                          'schema', 'dbo', 'table', 'Products';                  -- 테이블</v>
      </c>
      <c r="Q122" s="25"/>
    </row>
    <row r="123" spans="2:17">
      <c r="M123" s="24" t="str">
        <f>IF(TRIM($B7)="","-- "&amp;$A7&amp;",",IF(LEFT($B7,2)="--","-- "&amp;$A7&amp;",","")&amp;"EXEC sp_addextendedproperty 'MS_Description', '"&amp;TRIM($C7)&amp;IF($K7="","","("&amp;$K7&amp;")")&amp;"', "&amp;REPT(" ",60-LENB(TRIM($C7)&amp;IF($K7="","","("&amp;$K7&amp;")")))&amp;" 'schema', 'dbo', N'table', '"&amp;TRIM($C$3)&amp;"', 'column', '"&amp;TRIM($B7)&amp;"';"&amp;REPT(" ",20-LENB(TRIM($B7)))&amp;"-- 컬럼")</f>
        <v>EXEC sp_addextendedproperty 'MS_Description', '상점번호',                                                      'schema', 'dbo', N'table', 'Products', 'column', 'storeNumber';         -- 컬럼</v>
      </c>
      <c r="Q123" s="25"/>
    </row>
    <row r="124" spans="2:17">
      <c r="M124" s="24" t="str">
        <f t="shared" ref="M124:M187" si="5">IF(TRIM($B8)="","-- "&amp;$A8&amp;",",IF(LEFT($B8,2)="--","-- "&amp;$A8&amp;",","")&amp;"EXEC sp_addextendedproperty 'MS_Description', '"&amp;TRIM($C8)&amp;IF($K8="","","("&amp;$K8&amp;")")&amp;"', "&amp;REPT(" ",60-LENB(TRIM($C8)&amp;IF($K8="","","("&amp;$K8&amp;")")))&amp;" 'schema', 'dbo', N'table', '"&amp;TRIM($C$3)&amp;"', 'column', '"&amp;TRIM($B8)&amp;"';"&amp;REPT(" ",20-LENB(TRIM($B8)))&amp;"-- 컬럼")</f>
        <v>EXEC sp_addextendedproperty 'MS_Description', '상점명(AES256)',                                                'schema', 'dbo', N'table', 'Products', 'column', 'storeName';           -- 컬럼</v>
      </c>
      <c r="Q124" s="25"/>
    </row>
    <row r="125" spans="2:17">
      <c r="M125" s="24" t="str">
        <f t="shared" si="5"/>
        <v>EXEC sp_addextendedproperty 'MS_Description', '판매자명(AES256)',                                              'schema', 'dbo', N'table', 'Products', 'column', 'sellerName';          -- 컬럼</v>
      </c>
      <c r="Q125" s="25"/>
    </row>
    <row r="126" spans="2:17">
      <c r="M126" s="24" t="str">
        <f t="shared" si="5"/>
        <v>EXEC sp_addextendedproperty 'MS_Description', '별명(AES256)',                                                  'schema', 'dbo', N'table', 'Products', 'column', 'nickName';            -- 컬럼</v>
      </c>
      <c r="Q126" s="25"/>
    </row>
    <row r="127" spans="2:17">
      <c r="M127" s="24" t="str">
        <f t="shared" si="5"/>
        <v>EXEC sp_addextendedproperty 'MS_Description', '전화번호(AES256)',                                              'schema', 'dbo', N'table', 'Products', 'column', 'phoneNumber';         -- 컬럼</v>
      </c>
      <c r="Q127" s="25"/>
    </row>
    <row r="128" spans="2:17">
      <c r="M128" s="24" t="str">
        <f t="shared" si="5"/>
        <v>EXEC sp_addextendedproperty 'MS_Description', '이메일주소(AES256)',                                            'schema', 'dbo', N'table', 'Products', 'column', 'emailAddress';        -- 컬럼</v>
      </c>
      <c r="Q128" s="25"/>
    </row>
    <row r="129" spans="13:17">
      <c r="M129" s="24" t="str">
        <f t="shared" si="5"/>
        <v>EXEC sp_addextendedproperty 'MS_Description', '우편번호(지번)(AES256)',                                        'schema', 'dbo', N'table', 'Products', 'column', 'zipCode';             -- 컬럼</v>
      </c>
      <c r="Q129" s="25"/>
    </row>
    <row r="130" spans="13:17">
      <c r="M130" s="24" t="str">
        <f t="shared" si="5"/>
        <v>EXEC sp_addextendedproperty 'MS_Description', '우편번호(도로명)(AES256)',                                      'schema', 'dbo', N'table', 'Products', 'column', 'postalCode';          -- 컬럼</v>
      </c>
      <c r="Q130" s="25"/>
    </row>
    <row r="131" spans="13:17">
      <c r="M131" s="24" t="str">
        <f t="shared" si="5"/>
        <v>EXEC sp_addextendedproperty 'MS_Description', '기본주소(AES256)',                                              'schema', 'dbo', N'table', 'Products', 'column', 'baseAddress';         -- 컬럼</v>
      </c>
      <c r="Q131" s="25"/>
    </row>
    <row r="132" spans="13:17">
      <c r="M132" s="24" t="str">
        <f t="shared" si="5"/>
        <v>EXEC sp_addextendedproperty 'MS_Description', '판매가능지역(AES256, 읍면동)',                                  'schema', 'dbo', N'table', 'Products', 'column', 'availableArea';       -- 컬럼</v>
      </c>
      <c r="Q132" s="25"/>
    </row>
    <row r="133" spans="13:17">
      <c r="M133" s="24" t="str">
        <f t="shared" si="5"/>
        <v>EXEC sp_addextendedproperty 'MS_Description', '상품번호(Y,N)',                                                 'schema', 'dbo', N'table', 'Products', 'column', 'productNumber';       -- 컬럼</v>
      </c>
      <c r="Q133" s="25"/>
    </row>
    <row r="134" spans="13:17">
      <c r="M134" s="24" t="str">
        <f t="shared" si="5"/>
        <v>EXEC sp_addextendedproperty 'MS_Description', '상품명(Y,N)',                                                   'schema', 'dbo', N'table', 'Products', 'column', 'productName';         -- 컬럼</v>
      </c>
      <c r="Q134" s="25"/>
    </row>
    <row r="135" spans="13:17">
      <c r="M135" s="24" t="str">
        <f t="shared" si="5"/>
        <v>EXEC sp_addextendedproperty 'MS_Description', '상품사진경로(Y,N)',                                             'schema', 'dbo', N'table', 'Products', 'column', 'productPhotoPath';    -- 컬럼</v>
      </c>
      <c r="Q135" s="25"/>
    </row>
    <row r="136" spans="13:17">
      <c r="M136" s="24" t="str">
        <f t="shared" si="5"/>
        <v>EXEC sp_addextendedproperty 'MS_Description', '상세설명',                                                      'schema', 'dbo', N'table', 'Products', 'column', 'productDescription';  -- 컬럼</v>
      </c>
      <c r="Q136" s="25"/>
    </row>
    <row r="137" spans="13:17">
      <c r="M137" s="24" t="str">
        <f t="shared" si="5"/>
        <v>EXEC sp_addextendedproperty 'MS_Description', '기본가',                                                        'schema', 'dbo', N'table', 'Products', 'column', 'basicPrice';          -- 컬럼</v>
      </c>
      <c r="Q137" s="25"/>
    </row>
    <row r="138" spans="13:17">
      <c r="M138" s="24" t="str">
        <f t="shared" si="5"/>
        <v>EXEC sp_addextendedproperty 'MS_Description', '판매방식(GS(일반판매),BA(최고가경매방식),LA(최저가경매방식))',  'schema', 'dbo', N'table', 'Products', 'column', 'salesSystem';         -- 컬럼</v>
      </c>
      <c r="Q138" s="25"/>
    </row>
    <row r="139" spans="13:17">
      <c r="M139" s="24" t="str">
        <f t="shared" si="5"/>
        <v>EXEC sp_addextendedproperty 'MS_Description', '판매시작일',                                                    'schema', 'dbo', N'table', 'Products', 'column', 'salesStartDate';      -- 컬럼</v>
      </c>
      <c r="Q139" s="25"/>
    </row>
    <row r="140" spans="13:17">
      <c r="M140" s="24" t="str">
        <f t="shared" si="5"/>
        <v>EXEC sp_addextendedproperty 'MS_Description', '판매종료일',                                                    'schema', 'dbo', N'table', 'Products', 'column', 'salesEndDate';        -- 컬럼</v>
      </c>
      <c r="Q140" s="25"/>
    </row>
    <row r="141" spans="13:17">
      <c r="M141" s="24" t="str">
        <f t="shared" si="5"/>
        <v>EXEC sp_addextendedproperty 'MS_Description', '판매여부(Y,N)',                                                 'schema', 'dbo', N'table', 'Products', 'column', 'saleAt';              -- 컬럼</v>
      </c>
      <c r="Q141" s="25"/>
    </row>
    <row r="142" spans="13:17">
      <c r="M142" s="24" t="str">
        <f t="shared" si="5"/>
        <v>EXEC sp_addextendedproperty 'MS_Description', '사용여부(Y,N)',                                                 'schema', 'dbo', N'table', 'Products', 'column', 'useAt';               -- 컬럼</v>
      </c>
      <c r="Q142" s="25"/>
    </row>
    <row r="143" spans="13:17">
      <c r="M143" s="24" t="str">
        <f t="shared" si="5"/>
        <v>EXEC sp_addextendedproperty 'MS_Description', '삭제여부(Y,N)',                                                 'schema', 'dbo', N'table', 'Products', 'column', 'delAt';               -- 컬럼</v>
      </c>
      <c r="Q143" s="25"/>
    </row>
    <row r="144" spans="13:17">
      <c r="M144" s="24" t="str">
        <f t="shared" si="5"/>
        <v>EXEC sp_addextendedproperty 'MS_Description', '생성자',                                                        'schema', 'dbo', N'table', 'Products', 'column', 'createId';            -- 컬럼</v>
      </c>
      <c r="Q144" s="25"/>
    </row>
    <row r="145" spans="13:17">
      <c r="M145" s="24" t="str">
        <f t="shared" si="5"/>
        <v>EXEC sp_addextendedproperty 'MS_Description', '생성 일시',                                                     'schema', 'dbo', N'table', 'Products', 'column', 'createDate';          -- 컬럼</v>
      </c>
      <c r="Q145" s="25"/>
    </row>
    <row r="146" spans="13:17">
      <c r="M146" s="24" t="str">
        <f t="shared" si="5"/>
        <v>EXEC sp_addextendedproperty 'MS_Description', '수정자',                                                        'schema', 'dbo', N'table', 'Products', 'column', 'updateId';            -- 컬럼</v>
      </c>
      <c r="Q146" s="25"/>
    </row>
    <row r="147" spans="13:17">
      <c r="M147" s="24" t="str">
        <f t="shared" si="5"/>
        <v>EXEC sp_addextendedproperty 'MS_Description', '갱신 일시',                                                     'schema', 'dbo', N'table', 'Products', 'column', 'updateDate';          -- 컬럼</v>
      </c>
      <c r="Q147" s="25"/>
    </row>
    <row r="148" spans="13:17">
      <c r="M148" s="24" t="str">
        <f t="shared" si="5"/>
        <v>-- 26,</v>
      </c>
      <c r="Q148" s="25"/>
    </row>
    <row r="149" spans="13:17">
      <c r="M149" s="24" t="str">
        <f t="shared" si="5"/>
        <v>-- 27,</v>
      </c>
      <c r="Q149" s="25"/>
    </row>
    <row r="150" spans="13:17">
      <c r="M150" s="24" t="str">
        <f t="shared" si="5"/>
        <v>-- 28,</v>
      </c>
      <c r="Q150" s="25"/>
    </row>
    <row r="151" spans="13:17">
      <c r="M151" s="24" t="str">
        <f t="shared" si="5"/>
        <v>-- 29,</v>
      </c>
      <c r="Q151" s="25"/>
    </row>
    <row r="152" spans="13:17">
      <c r="M152" s="24" t="str">
        <f t="shared" si="5"/>
        <v>-- 30,</v>
      </c>
      <c r="Q152" s="25"/>
    </row>
    <row r="153" spans="13:17">
      <c r="M153" s="24" t="str">
        <f t="shared" si="5"/>
        <v>-- 31,</v>
      </c>
      <c r="Q153" s="25"/>
    </row>
    <row r="154" spans="13:17">
      <c r="M154" s="24" t="str">
        <f t="shared" si="5"/>
        <v>-- 32,</v>
      </c>
      <c r="Q154" s="25"/>
    </row>
    <row r="155" spans="13:17">
      <c r="M155" s="24" t="str">
        <f t="shared" si="5"/>
        <v>-- 33,</v>
      </c>
      <c r="Q155" s="25"/>
    </row>
    <row r="156" spans="13:17">
      <c r="M156" s="24" t="str">
        <f t="shared" si="5"/>
        <v>-- 34,</v>
      </c>
      <c r="Q156" s="25"/>
    </row>
    <row r="157" spans="13:17">
      <c r="M157" s="24" t="str">
        <f t="shared" si="5"/>
        <v>-- 35,</v>
      </c>
      <c r="Q157" s="25"/>
    </row>
    <row r="158" spans="13:17">
      <c r="M158" s="24" t="str">
        <f t="shared" si="5"/>
        <v>-- 36,</v>
      </c>
      <c r="Q158" s="25"/>
    </row>
    <row r="159" spans="13:17">
      <c r="M159" s="24" t="str">
        <f t="shared" si="5"/>
        <v>-- 37,</v>
      </c>
      <c r="Q159" s="25"/>
    </row>
    <row r="160" spans="13:17">
      <c r="M160" s="24" t="str">
        <f t="shared" si="5"/>
        <v>-- 38,</v>
      </c>
      <c r="Q160" s="25"/>
    </row>
    <row r="161" spans="12:17">
      <c r="M161" s="24" t="str">
        <f t="shared" si="5"/>
        <v>-- 39,</v>
      </c>
      <c r="Q161" s="25"/>
    </row>
    <row r="162" spans="12:17">
      <c r="M162" s="24" t="str">
        <f t="shared" si="5"/>
        <v>-- 40,</v>
      </c>
      <c r="Q162" s="25"/>
    </row>
    <row r="163" spans="12:17">
      <c r="M163" s="24" t="str">
        <f t="shared" si="5"/>
        <v>-- 41,</v>
      </c>
      <c r="Q163" s="25"/>
    </row>
    <row r="164" spans="12:17">
      <c r="M164" s="24" t="str">
        <f t="shared" si="5"/>
        <v>-- 42,</v>
      </c>
      <c r="Q164" s="25"/>
    </row>
    <row r="165" spans="12:17">
      <c r="M165" s="24" t="str">
        <f t="shared" si="5"/>
        <v>-- 43,</v>
      </c>
      <c r="Q165" s="25"/>
    </row>
    <row r="166" spans="12:17">
      <c r="M166" s="24" t="str">
        <f t="shared" si="5"/>
        <v>-- 44,</v>
      </c>
      <c r="Q166" s="25"/>
    </row>
    <row r="167" spans="12:17">
      <c r="M167" s="24" t="str">
        <f t="shared" si="5"/>
        <v>-- 45,</v>
      </c>
      <c r="Q167" s="25"/>
    </row>
    <row r="168" spans="12:17">
      <c r="M168" s="24" t="str">
        <f t="shared" si="5"/>
        <v>-- 46,</v>
      </c>
      <c r="Q168" s="25"/>
    </row>
    <row r="169" spans="12:17">
      <c r="M169" s="24" t="str">
        <f t="shared" si="5"/>
        <v>-- 47,</v>
      </c>
      <c r="Q169" s="25"/>
    </row>
    <row r="170" spans="12:17">
      <c r="M170" s="24" t="str">
        <f t="shared" si="5"/>
        <v>-- 48,</v>
      </c>
      <c r="Q170" s="25"/>
    </row>
    <row r="171" spans="12:17">
      <c r="M171" s="24" t="str">
        <f t="shared" si="5"/>
        <v>-- 49,</v>
      </c>
      <c r="Q171" s="25"/>
    </row>
    <row r="172" spans="12:17">
      <c r="M172" s="24" t="str">
        <f t="shared" si="5"/>
        <v>-- 50,</v>
      </c>
    </row>
    <row r="173" spans="12:17">
      <c r="L173" s="24"/>
      <c r="M173" s="24" t="str">
        <f t="shared" si="5"/>
        <v>-- 51,</v>
      </c>
    </row>
    <row r="174" spans="12:17">
      <c r="L174" s="24"/>
      <c r="M174" s="24" t="str">
        <f t="shared" si="5"/>
        <v>-- 52,</v>
      </c>
    </row>
    <row r="175" spans="12:17">
      <c r="L175" s="24"/>
      <c r="M175" s="24" t="str">
        <f t="shared" si="5"/>
        <v>-- 53,</v>
      </c>
    </row>
    <row r="176" spans="12:17">
      <c r="L176" s="24"/>
      <c r="M176" s="24" t="str">
        <f t="shared" si="5"/>
        <v>-- 54,</v>
      </c>
    </row>
    <row r="177" spans="12:13">
      <c r="L177" s="24"/>
      <c r="M177" s="24" t="str">
        <f t="shared" si="5"/>
        <v>-- 55,</v>
      </c>
    </row>
    <row r="178" spans="12:13">
      <c r="L178" s="24"/>
      <c r="M178" s="24" t="str">
        <f t="shared" si="5"/>
        <v>-- 56,</v>
      </c>
    </row>
    <row r="179" spans="12:13">
      <c r="L179" s="24"/>
      <c r="M179" s="24" t="str">
        <f t="shared" si="5"/>
        <v>-- 57,</v>
      </c>
    </row>
    <row r="180" spans="12:13">
      <c r="L180" s="24"/>
      <c r="M180" s="24" t="str">
        <f t="shared" si="5"/>
        <v>-- 58,</v>
      </c>
    </row>
    <row r="181" spans="12:13">
      <c r="L181" s="24"/>
      <c r="M181" s="24" t="str">
        <f t="shared" si="5"/>
        <v>-- 59,</v>
      </c>
    </row>
    <row r="182" spans="12:13">
      <c r="L182" s="24"/>
      <c r="M182" s="24" t="str">
        <f t="shared" si="5"/>
        <v>-- 60,</v>
      </c>
    </row>
    <row r="183" spans="12:13">
      <c r="L183" s="24"/>
      <c r="M183" s="24" t="str">
        <f t="shared" si="5"/>
        <v>-- 61,</v>
      </c>
    </row>
    <row r="184" spans="12:13">
      <c r="L184" s="24"/>
      <c r="M184" s="24" t="str">
        <f t="shared" si="5"/>
        <v>-- 62,</v>
      </c>
    </row>
    <row r="185" spans="12:13">
      <c r="L185" s="24"/>
      <c r="M185" s="24" t="str">
        <f t="shared" si="5"/>
        <v>-- 63,</v>
      </c>
    </row>
    <row r="186" spans="12:13">
      <c r="L186" s="24"/>
      <c r="M186" s="24" t="str">
        <f t="shared" si="5"/>
        <v>-- 64,</v>
      </c>
    </row>
    <row r="187" spans="12:13">
      <c r="L187" s="24"/>
      <c r="M187" s="24" t="str">
        <f t="shared" si="5"/>
        <v>-- 65,</v>
      </c>
    </row>
    <row r="188" spans="12:13">
      <c r="L188" s="24"/>
      <c r="M188" s="24" t="str">
        <f t="shared" ref="M188:M222" si="6">IF(TRIM($B72)="","-- "&amp;$A72&amp;",",IF(LEFT($B72,2)="--","-- "&amp;$A72&amp;",","")&amp;"EXEC sp_addextendedproperty 'MS_Description', '"&amp;TRIM($C72)&amp;IF($K72="","","("&amp;$K72&amp;")")&amp;"', "&amp;REPT(" ",60-LENB(TRIM($C72)&amp;IF($K72="","","("&amp;$K72&amp;")")))&amp;" 'schema', 'dbo', N'table', '"&amp;TRIM($C$3)&amp;"', 'column', '"&amp;TRIM($B72)&amp;"';"&amp;REPT(" ",20-LENB(TRIM($B72)))&amp;"-- 컬럼")</f>
        <v>-- 66,</v>
      </c>
    </row>
    <row r="189" spans="12:13">
      <c r="L189" s="24"/>
      <c r="M189" s="24" t="str">
        <f t="shared" si="6"/>
        <v>-- 67,</v>
      </c>
    </row>
    <row r="190" spans="12:13">
      <c r="L190" s="24"/>
      <c r="M190" s="24" t="str">
        <f t="shared" si="6"/>
        <v>-- 68,</v>
      </c>
    </row>
    <row r="191" spans="12:13">
      <c r="L191" s="24"/>
      <c r="M191" s="24" t="str">
        <f t="shared" si="6"/>
        <v>-- 69,</v>
      </c>
    </row>
    <row r="192" spans="12:13">
      <c r="L192" s="24"/>
      <c r="M192" s="24" t="str">
        <f t="shared" si="6"/>
        <v>-- 70,</v>
      </c>
    </row>
    <row r="193" spans="12:13">
      <c r="L193" s="24"/>
      <c r="M193" s="24" t="str">
        <f t="shared" si="6"/>
        <v>-- 71,</v>
      </c>
    </row>
    <row r="194" spans="12:13">
      <c r="L194" s="24"/>
      <c r="M194" s="24" t="str">
        <f t="shared" si="6"/>
        <v>-- 72,</v>
      </c>
    </row>
    <row r="195" spans="12:13">
      <c r="L195" s="24"/>
      <c r="M195" s="24" t="str">
        <f t="shared" si="6"/>
        <v>-- 73,</v>
      </c>
    </row>
    <row r="196" spans="12:13">
      <c r="L196" s="24"/>
      <c r="M196" s="24" t="str">
        <f t="shared" si="6"/>
        <v>-- 74,</v>
      </c>
    </row>
    <row r="197" spans="12:13">
      <c r="L197" s="24"/>
      <c r="M197" s="24" t="str">
        <f t="shared" si="6"/>
        <v>-- 75,</v>
      </c>
    </row>
    <row r="198" spans="12:13">
      <c r="L198" s="24"/>
      <c r="M198" s="24" t="str">
        <f t="shared" si="6"/>
        <v>-- 76,</v>
      </c>
    </row>
    <row r="199" spans="12:13">
      <c r="L199" s="24"/>
      <c r="M199" s="24" t="str">
        <f t="shared" si="6"/>
        <v>-- 77,</v>
      </c>
    </row>
    <row r="200" spans="12:13">
      <c r="L200" s="24"/>
      <c r="M200" s="24" t="str">
        <f t="shared" si="6"/>
        <v>-- 78,</v>
      </c>
    </row>
    <row r="201" spans="12:13">
      <c r="L201" s="24"/>
      <c r="M201" s="24" t="str">
        <f t="shared" si="6"/>
        <v>-- 79,</v>
      </c>
    </row>
    <row r="202" spans="12:13">
      <c r="L202" s="24"/>
      <c r="M202" s="24" t="str">
        <f t="shared" si="6"/>
        <v>-- 80,</v>
      </c>
    </row>
    <row r="203" spans="12:13">
      <c r="L203" s="24"/>
      <c r="M203" s="24" t="str">
        <f t="shared" si="6"/>
        <v>-- 81,</v>
      </c>
    </row>
    <row r="204" spans="12:13">
      <c r="L204" s="24"/>
      <c r="M204" s="24" t="str">
        <f t="shared" si="6"/>
        <v>-- 82,</v>
      </c>
    </row>
    <row r="205" spans="12:13">
      <c r="L205" s="24"/>
      <c r="M205" s="24" t="str">
        <f t="shared" si="6"/>
        <v>-- 83,</v>
      </c>
    </row>
    <row r="206" spans="12:13">
      <c r="L206" s="24"/>
      <c r="M206" s="24" t="str">
        <f t="shared" si="6"/>
        <v>-- 84,</v>
      </c>
    </row>
    <row r="207" spans="12:13">
      <c r="L207" s="24"/>
      <c r="M207" s="24" t="str">
        <f t="shared" si="6"/>
        <v>-- 85,</v>
      </c>
    </row>
    <row r="208" spans="12:13">
      <c r="L208" s="24"/>
      <c r="M208" s="24" t="str">
        <f t="shared" si="6"/>
        <v>-- 86,</v>
      </c>
    </row>
    <row r="209" spans="12:13">
      <c r="L209" s="24"/>
      <c r="M209" s="24" t="str">
        <f t="shared" si="6"/>
        <v>-- 87,</v>
      </c>
    </row>
    <row r="210" spans="12:13">
      <c r="L210" s="24"/>
      <c r="M210" s="24" t="str">
        <f t="shared" si="6"/>
        <v>-- 88,</v>
      </c>
    </row>
    <row r="211" spans="12:13">
      <c r="L211" s="24"/>
      <c r="M211" s="24" t="str">
        <f t="shared" si="6"/>
        <v>-- 89,</v>
      </c>
    </row>
    <row r="212" spans="12:13">
      <c r="L212" s="24"/>
      <c r="M212" s="24" t="str">
        <f t="shared" si="6"/>
        <v>-- 90,</v>
      </c>
    </row>
    <row r="213" spans="12:13">
      <c r="L213" s="24"/>
      <c r="M213" s="24" t="str">
        <f t="shared" si="6"/>
        <v>-- 91,</v>
      </c>
    </row>
    <row r="214" spans="12:13">
      <c r="L214" s="24"/>
      <c r="M214" s="24" t="str">
        <f t="shared" si="6"/>
        <v>-- 92,</v>
      </c>
    </row>
    <row r="215" spans="12:13">
      <c r="L215" s="24"/>
      <c r="M215" s="24" t="str">
        <f t="shared" si="6"/>
        <v>-- 93,</v>
      </c>
    </row>
    <row r="216" spans="12:13">
      <c r="L216" s="24"/>
      <c r="M216" s="24" t="str">
        <f t="shared" si="6"/>
        <v>-- 94,</v>
      </c>
    </row>
    <row r="217" spans="12:13">
      <c r="L217" s="24"/>
      <c r="M217" s="24" t="str">
        <f t="shared" si="6"/>
        <v>-- 95,</v>
      </c>
    </row>
    <row r="218" spans="12:13">
      <c r="L218" s="24"/>
      <c r="M218" s="24" t="str">
        <f t="shared" si="6"/>
        <v>-- 96,</v>
      </c>
    </row>
    <row r="219" spans="12:13">
      <c r="L219" s="24"/>
      <c r="M219" s="24" t="str">
        <f t="shared" si="6"/>
        <v>-- 97,</v>
      </c>
    </row>
    <row r="220" spans="12:13">
      <c r="L220" s="24"/>
      <c r="M220" s="24" t="str">
        <f t="shared" si="6"/>
        <v>-- 98,</v>
      </c>
    </row>
    <row r="221" spans="12:13">
      <c r="L221" s="24"/>
      <c r="M221" s="24" t="str">
        <f t="shared" si="6"/>
        <v>-- 99,</v>
      </c>
    </row>
    <row r="222" spans="12:13">
      <c r="L222" s="24"/>
      <c r="M222" s="24" t="str">
        <f t="shared" si="6"/>
        <v>-- 100,</v>
      </c>
    </row>
    <row r="223" spans="12:13">
      <c r="L223" s="24"/>
      <c r="M223" s="24"/>
    </row>
    <row r="224" spans="12:13">
      <c r="L224" s="24"/>
      <c r="M224" s="18" t="s">
        <v>651</v>
      </c>
    </row>
    <row r="225" spans="12:13">
      <c r="L225" s="24"/>
      <c r="M225" s="24" t="str">
        <f>REPT(" ",6)&amp;IF(ISBLANK($B7),"--"&amp;$A7,
LEFT(SUBSTITUTE($B7," ","*")&amp;
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storeNumber                   VARCHAR(256)                                                ,</v>
      </c>
    </row>
    <row r="226" spans="12:13">
      <c r="L226" s="24"/>
      <c r="M226" s="24" t="str">
        <f>IF(TRIM($B110)="","-- "&amp;$A110&amp;",",IF(LEFT($B110,2)="--","-- "&amp;$A110&amp;",","")&amp;"EXEC sp_addextendedproperty 'MS_Description', '"&amp;TRIM($C110)&amp;IF($K110="","","("&amp;$K110&amp;")")&amp;"', "&amp;REPT(" ",60-LENB(TRIM($C110)&amp;IF($K110="","","("&amp;$K110&amp;")")))&amp;" 'schema', 'dbo', N'table', '"&amp;TRIM($C$3)&amp;"', 'column', '"&amp;TRIM($B110)&amp;"';"&amp;REPT(" ",20-LENB(TRIM($B110)))&amp;"-- 컬럼")</f>
        <v>-- ,</v>
      </c>
    </row>
    <row r="227" spans="12:13">
      <c r="L227" s="24"/>
      <c r="M227" s="24" t="str">
        <f t="shared" ref="M227:M290" si="7">IF(TRIM($B111)="","-- "&amp;$A111&amp;",",IF(LEFT($B111,2)="--","-- "&amp;$A111&amp;",","")&amp;"EXEC sp_addextendedproperty 'MS_Description', '"&amp;TRIM($C111)&amp;IF($K111="","","("&amp;$K111&amp;")")&amp;"', "&amp;REPT(" ",60-LENB(TRIM($C111)&amp;IF($K111="","","("&amp;$K111&amp;")")))&amp;" 'schema', 'dbo', N'table', '"&amp;TRIM($C$3)&amp;"', 'column', '"&amp;TRIM($B111)&amp;"';"&amp;REPT(" ",20-LENB(TRIM($B111)))&amp;"-- 컬럼")</f>
        <v>-- ,</v>
      </c>
    </row>
    <row r="228" spans="12:13">
      <c r="L228" s="24"/>
      <c r="M228" s="24" t="str">
        <f t="shared" si="7"/>
        <v>-- ,</v>
      </c>
    </row>
    <row r="229" spans="12:13">
      <c r="L229" s="24"/>
      <c r="M229" s="24" t="str">
        <f t="shared" si="7"/>
        <v>-- ,</v>
      </c>
    </row>
    <row r="230" spans="12:13">
      <c r="L230" s="24"/>
      <c r="M230" s="24" t="str">
        <f t="shared" si="7"/>
        <v>-- ,</v>
      </c>
    </row>
    <row r="231" spans="12:13">
      <c r="L231" s="24"/>
      <c r="M231" s="24" t="str">
        <f t="shared" si="7"/>
        <v>-- ,</v>
      </c>
    </row>
    <row r="232" spans="12:13">
      <c r="L232" s="24"/>
      <c r="M232" s="24" t="str">
        <f t="shared" si="7"/>
        <v>-- ,</v>
      </c>
    </row>
    <row r="233" spans="12:13">
      <c r="L233" s="24"/>
      <c r="M233" s="24" t="str">
        <f t="shared" si="7"/>
        <v>-- ,</v>
      </c>
    </row>
    <row r="234" spans="12:13">
      <c r="L234" s="24"/>
      <c r="M234" s="24" t="str">
        <f t="shared" si="7"/>
        <v>-- ,</v>
      </c>
    </row>
    <row r="235" spans="12:13">
      <c r="L235" s="24"/>
      <c r="M235" s="24" t="str">
        <f t="shared" si="7"/>
        <v>EXEC sp_addextendedproperty 'MS_Description', '',                                                              'schema', 'dbo', N'table', 'Products', 'column', '*초기데이터';         -- 컬럼</v>
      </c>
    </row>
    <row r="236" spans="12:13">
      <c r="L236" s="24"/>
      <c r="M236" s="24" t="str">
        <f t="shared" si="7"/>
        <v>-- ,</v>
      </c>
    </row>
    <row r="237" spans="12:13">
      <c r="L237" s="24"/>
      <c r="M237" s="24" t="str">
        <f t="shared" si="7"/>
        <v>-- ,</v>
      </c>
    </row>
    <row r="238" spans="12:13">
      <c r="L238" s="24"/>
      <c r="M238" s="24" t="str">
        <f t="shared" si="7"/>
        <v>-- ,</v>
      </c>
    </row>
    <row r="239" spans="12:13">
      <c r="L239" s="24"/>
      <c r="M239" s="24" t="str">
        <f t="shared" si="7"/>
        <v>-- ,</v>
      </c>
    </row>
    <row r="240" spans="12:13">
      <c r="L240" s="24"/>
      <c r="M240" s="24" t="str">
        <f t="shared" si="7"/>
        <v>-- ,</v>
      </c>
    </row>
    <row r="241" spans="12:13">
      <c r="L241" s="24"/>
      <c r="M241" s="24" t="str">
        <f t="shared" si="7"/>
        <v>-- ,</v>
      </c>
    </row>
    <row r="242" spans="12:13">
      <c r="L242" s="24"/>
      <c r="M242" s="24" t="str">
        <f t="shared" si="7"/>
        <v>-- ,</v>
      </c>
    </row>
    <row r="243" spans="12:13">
      <c r="L243" s="24"/>
      <c r="M243" s="24" t="str">
        <f t="shared" si="7"/>
        <v>-- ,</v>
      </c>
    </row>
    <row r="244" spans="12:13">
      <c r="L244" s="24"/>
      <c r="M244" s="24" t="str">
        <f t="shared" si="7"/>
        <v>-- ,</v>
      </c>
    </row>
    <row r="245" spans="12:13">
      <c r="L245" s="24"/>
      <c r="M245" s="24" t="str">
        <f t="shared" si="7"/>
        <v>-- ,</v>
      </c>
    </row>
    <row r="246" spans="12:13">
      <c r="L246" s="24"/>
      <c r="M246" s="24" t="str">
        <f t="shared" si="7"/>
        <v>-- ,</v>
      </c>
    </row>
    <row r="247" spans="12:13">
      <c r="L247" s="24"/>
      <c r="M247" s="24" t="str">
        <f t="shared" si="7"/>
        <v>-- ,</v>
      </c>
    </row>
    <row r="248" spans="12:13">
      <c r="L248" s="24"/>
      <c r="M248" s="24" t="str">
        <f t="shared" si="7"/>
        <v>-- ,</v>
      </c>
    </row>
    <row r="249" spans="12:13">
      <c r="L249" s="24"/>
      <c r="M249" s="24" t="str">
        <f t="shared" si="7"/>
        <v>-- ,</v>
      </c>
    </row>
    <row r="250" spans="12:13">
      <c r="L250" s="24"/>
      <c r="M250" s="24" t="str">
        <f t="shared" si="7"/>
        <v>-- ,</v>
      </c>
    </row>
    <row r="251" spans="12:13">
      <c r="L251" s="24"/>
      <c r="M251" s="24" t="str">
        <f t="shared" si="7"/>
        <v>-- ,</v>
      </c>
    </row>
    <row r="252" spans="12:13">
      <c r="L252" s="24"/>
      <c r="M252" s="24" t="str">
        <f t="shared" si="7"/>
        <v>-- ,</v>
      </c>
    </row>
    <row r="253" spans="12:13">
      <c r="L253" s="24"/>
      <c r="M253" s="24" t="str">
        <f t="shared" si="7"/>
        <v>-- ,</v>
      </c>
    </row>
    <row r="254" spans="12:13">
      <c r="L254" s="24"/>
      <c r="M254" s="24" t="str">
        <f t="shared" si="7"/>
        <v>-- ,</v>
      </c>
    </row>
    <row r="255" spans="12:13">
      <c r="L255" s="24"/>
      <c r="M255" s="24" t="str">
        <f t="shared" si="7"/>
        <v>-- ,</v>
      </c>
    </row>
    <row r="256" spans="12:13">
      <c r="L256" s="24"/>
      <c r="M256" s="24" t="str">
        <f t="shared" si="7"/>
        <v>-- ,</v>
      </c>
    </row>
    <row r="257" spans="12:13">
      <c r="L257" s="24"/>
      <c r="M257" s="24" t="str">
        <f t="shared" si="7"/>
        <v>-- ,</v>
      </c>
    </row>
    <row r="258" spans="12:13">
      <c r="L258" s="24"/>
      <c r="M258" s="24" t="str">
        <f t="shared" si="7"/>
        <v>-- ,</v>
      </c>
    </row>
    <row r="259" spans="12:13">
      <c r="L259" s="24"/>
      <c r="M259" s="24" t="str">
        <f t="shared" si="7"/>
        <v>-- ,</v>
      </c>
    </row>
    <row r="260" spans="12:13">
      <c r="L260" s="24"/>
      <c r="M260" s="24" t="str">
        <f t="shared" si="7"/>
        <v>-- ,</v>
      </c>
    </row>
    <row r="261" spans="12:13">
      <c r="L261" s="24"/>
      <c r="M261" s="24" t="str">
        <f t="shared" si="7"/>
        <v>-- ,</v>
      </c>
    </row>
    <row r="262" spans="12:13">
      <c r="L262" s="24"/>
      <c r="M262" s="24" t="str">
        <f t="shared" si="7"/>
        <v>-- ,</v>
      </c>
    </row>
    <row r="263" spans="12:13">
      <c r="L263" s="24"/>
      <c r="M263" s="24" t="str">
        <f t="shared" si="7"/>
        <v>-- ,</v>
      </c>
    </row>
    <row r="264" spans="12:13">
      <c r="L264" s="24"/>
      <c r="M264" s="24" t="str">
        <f t="shared" si="7"/>
        <v>-- ,</v>
      </c>
    </row>
    <row r="265" spans="12:13">
      <c r="L265" s="24"/>
      <c r="M265" s="24" t="str">
        <f t="shared" si="7"/>
        <v>-- ,</v>
      </c>
    </row>
    <row r="266" spans="12:13">
      <c r="L266" s="24"/>
      <c r="M266" s="24" t="str">
        <f t="shared" si="7"/>
        <v>-- ,</v>
      </c>
    </row>
    <row r="267" spans="12:13">
      <c r="L267" s="24"/>
      <c r="M267" s="24" t="str">
        <f t="shared" si="7"/>
        <v>-- ,</v>
      </c>
    </row>
    <row r="268" spans="12:13">
      <c r="L268" s="24"/>
      <c r="M268" s="24" t="str">
        <f t="shared" si="7"/>
        <v>-- ,</v>
      </c>
    </row>
    <row r="269" spans="12:13">
      <c r="L269" s="24"/>
      <c r="M269" s="24" t="str">
        <f t="shared" si="7"/>
        <v>-- ,</v>
      </c>
    </row>
    <row r="270" spans="12:13">
      <c r="L270" s="24"/>
      <c r="M270" s="24" t="str">
        <f t="shared" si="7"/>
        <v>-- ,</v>
      </c>
    </row>
    <row r="271" spans="12:13">
      <c r="L271" s="24"/>
      <c r="M271" s="24" t="str">
        <f t="shared" si="7"/>
        <v>-- ,</v>
      </c>
    </row>
    <row r="272" spans="12:13">
      <c r="L272" s="24"/>
      <c r="M272" s="24" t="str">
        <f t="shared" si="7"/>
        <v>-- ,</v>
      </c>
    </row>
    <row r="273" spans="12:13">
      <c r="L273" s="24"/>
      <c r="M273" s="24" t="str">
        <f t="shared" si="7"/>
        <v>-- ,</v>
      </c>
    </row>
    <row r="274" spans="12:13">
      <c r="L274" s="24"/>
      <c r="M274" s="24" t="str">
        <f t="shared" si="7"/>
        <v>-- ,</v>
      </c>
    </row>
    <row r="275" spans="12:13">
      <c r="L275" s="24"/>
      <c r="M275" s="24" t="str">
        <f t="shared" si="7"/>
        <v>-- ,</v>
      </c>
    </row>
    <row r="276" spans="12:13">
      <c r="L276" s="24"/>
      <c r="M276" s="24" t="str">
        <f t="shared" si="7"/>
        <v>-- ,</v>
      </c>
    </row>
    <row r="277" spans="12:13">
      <c r="L277" s="24"/>
      <c r="M277" s="24" t="str">
        <f t="shared" si="7"/>
        <v>-- ,</v>
      </c>
    </row>
    <row r="278" spans="12:13">
      <c r="L278" s="24"/>
      <c r="M278" s="24" t="str">
        <f t="shared" si="7"/>
        <v>-- ,</v>
      </c>
    </row>
    <row r="279" spans="12:13">
      <c r="L279" s="24"/>
      <c r="M279" s="24" t="str">
        <f t="shared" si="7"/>
        <v>-- ,</v>
      </c>
    </row>
    <row r="280" spans="12:13">
      <c r="L280" s="24"/>
      <c r="M280" s="24" t="str">
        <f t="shared" si="7"/>
        <v>-- ,</v>
      </c>
    </row>
    <row r="281" spans="12:13">
      <c r="L281" s="24"/>
      <c r="M281" s="24" t="str">
        <f t="shared" si="7"/>
        <v>-- ,</v>
      </c>
    </row>
    <row r="282" spans="12:13">
      <c r="L282" s="24"/>
      <c r="M282" s="24" t="str">
        <f t="shared" si="7"/>
        <v>-- ,</v>
      </c>
    </row>
    <row r="283" spans="12:13">
      <c r="L283" s="24"/>
      <c r="M283" s="24" t="str">
        <f t="shared" si="7"/>
        <v>-- ,</v>
      </c>
    </row>
    <row r="284" spans="12:13">
      <c r="L284" s="24"/>
      <c r="M284" s="24" t="str">
        <f t="shared" si="7"/>
        <v>-- ,</v>
      </c>
    </row>
    <row r="285" spans="12:13">
      <c r="L285" s="24"/>
      <c r="M285" s="24" t="str">
        <f t="shared" si="7"/>
        <v>-- ,</v>
      </c>
    </row>
    <row r="286" spans="12:13">
      <c r="L286" s="24"/>
      <c r="M286" s="24" t="str">
        <f t="shared" si="7"/>
        <v>-- ,</v>
      </c>
    </row>
    <row r="287" spans="12:13">
      <c r="L287" s="24"/>
      <c r="M287" s="24" t="str">
        <f t="shared" si="7"/>
        <v>-- ,</v>
      </c>
    </row>
    <row r="288" spans="12:13">
      <c r="L288" s="24"/>
      <c r="M288" s="24" t="str">
        <f t="shared" si="7"/>
        <v>-- ,</v>
      </c>
    </row>
    <row r="289" spans="12:13">
      <c r="L289" s="24"/>
      <c r="M289" s="24" t="str">
        <f t="shared" si="7"/>
        <v>-- ,</v>
      </c>
    </row>
    <row r="290" spans="12:13">
      <c r="L290" s="24"/>
      <c r="M290" s="24" t="str">
        <f t="shared" si="7"/>
        <v>-- ,</v>
      </c>
    </row>
    <row r="291" spans="12:13">
      <c r="L291" s="24"/>
      <c r="M291" s="24" t="str">
        <f t="shared" ref="M291:M324" si="8">IF(TRIM($B175)="","-- "&amp;$A175&amp;",",IF(LEFT($B175,2)="--","-- "&amp;$A175&amp;",","")&amp;"EXEC sp_addextendedproperty 'MS_Description', '"&amp;TRIM($C175)&amp;IF($K175="","","("&amp;$K175&amp;")")&amp;"', "&amp;REPT(" ",60-LENB(TRIM($C175)&amp;IF($K175="","","("&amp;$K175&amp;")")))&amp;" 'schema', 'dbo', N'table', '"&amp;TRIM($C$3)&amp;"', 'column', '"&amp;TRIM($B175)&amp;"';"&amp;REPT(" ",20-LENB(TRIM($B175)))&amp;"-- 컬럼")</f>
        <v>-- ,</v>
      </c>
    </row>
    <row r="292" spans="12:13">
      <c r="L292" s="24"/>
      <c r="M292" s="24" t="str">
        <f t="shared" si="8"/>
        <v>-- ,</v>
      </c>
    </row>
    <row r="293" spans="12:13">
      <c r="L293" s="24"/>
      <c r="M293" s="24" t="str">
        <f t="shared" si="8"/>
        <v>-- ,</v>
      </c>
    </row>
    <row r="294" spans="12:13">
      <c r="L294" s="24"/>
      <c r="M294" s="24" t="str">
        <f t="shared" si="8"/>
        <v>-- ,</v>
      </c>
    </row>
    <row r="295" spans="12:13">
      <c r="L295" s="24"/>
      <c r="M295" s="24" t="str">
        <f t="shared" si="8"/>
        <v>-- ,</v>
      </c>
    </row>
    <row r="296" spans="12:13">
      <c r="L296" s="24"/>
      <c r="M296" s="24" t="str">
        <f t="shared" si="8"/>
        <v>-- ,</v>
      </c>
    </row>
    <row r="297" spans="12:13">
      <c r="L297" s="24"/>
      <c r="M297" s="24" t="str">
        <f t="shared" si="8"/>
        <v>-- ,</v>
      </c>
    </row>
    <row r="298" spans="12:13">
      <c r="L298" s="24"/>
      <c r="M298" s="24" t="str">
        <f t="shared" si="8"/>
        <v>-- ,</v>
      </c>
    </row>
    <row r="299" spans="12:13">
      <c r="L299" s="24"/>
      <c r="M299" s="24" t="str">
        <f t="shared" si="8"/>
        <v>-- ,</v>
      </c>
    </row>
    <row r="300" spans="12:13">
      <c r="L300" s="24"/>
      <c r="M300" s="24" t="str">
        <f t="shared" si="8"/>
        <v>-- ,</v>
      </c>
    </row>
    <row r="301" spans="12:13">
      <c r="L301" s="24"/>
      <c r="M301" s="24" t="str">
        <f t="shared" si="8"/>
        <v>-- ,</v>
      </c>
    </row>
    <row r="302" spans="12:13">
      <c r="L302" s="24"/>
      <c r="M302" s="24" t="str">
        <f t="shared" si="8"/>
        <v>-- ,</v>
      </c>
    </row>
    <row r="303" spans="12:13">
      <c r="L303" s="24"/>
      <c r="M303" s="24" t="str">
        <f t="shared" si="8"/>
        <v>-- ,</v>
      </c>
    </row>
    <row r="304" spans="12:13">
      <c r="L304" s="24"/>
      <c r="M304" s="24" t="str">
        <f t="shared" si="8"/>
        <v>-- ,</v>
      </c>
    </row>
    <row r="305" spans="12:13">
      <c r="L305" s="24"/>
      <c r="M305" s="24" t="str">
        <f t="shared" si="8"/>
        <v>-- ,</v>
      </c>
    </row>
    <row r="306" spans="12:13">
      <c r="L306" s="24"/>
      <c r="M306" s="24" t="str">
        <f t="shared" si="8"/>
        <v>-- ,</v>
      </c>
    </row>
    <row r="307" spans="12:13">
      <c r="L307" s="24"/>
      <c r="M307" s="24" t="str">
        <f t="shared" si="8"/>
        <v>-- ,</v>
      </c>
    </row>
    <row r="308" spans="12:13">
      <c r="L308" s="24"/>
      <c r="M308" s="24" t="str">
        <f t="shared" si="8"/>
        <v>-- ,</v>
      </c>
    </row>
    <row r="309" spans="12:13">
      <c r="L309" s="24"/>
      <c r="M309" s="24" t="str">
        <f t="shared" si="8"/>
        <v>-- ,</v>
      </c>
    </row>
    <row r="310" spans="12:13">
      <c r="L310" s="24"/>
      <c r="M310" s="24" t="str">
        <f t="shared" si="8"/>
        <v>-- ,</v>
      </c>
    </row>
    <row r="311" spans="12:13">
      <c r="L311" s="24"/>
      <c r="M311" s="24" t="str">
        <f t="shared" si="8"/>
        <v>-- ,</v>
      </c>
    </row>
    <row r="312" spans="12:13">
      <c r="L312" s="24"/>
      <c r="M312" s="24" t="str">
        <f t="shared" si="8"/>
        <v>-- ,</v>
      </c>
    </row>
    <row r="313" spans="12:13">
      <c r="L313" s="24"/>
      <c r="M313" s="24" t="str">
        <f t="shared" si="8"/>
        <v>-- ,</v>
      </c>
    </row>
    <row r="314" spans="12:13">
      <c r="L314" s="24"/>
      <c r="M314" s="24" t="str">
        <f t="shared" si="8"/>
        <v>-- ,</v>
      </c>
    </row>
    <row r="315" spans="12:13">
      <c r="L315" s="24"/>
      <c r="M315" s="24" t="str">
        <f t="shared" si="8"/>
        <v>-- ,</v>
      </c>
    </row>
    <row r="316" spans="12:13">
      <c r="L316" s="24"/>
      <c r="M316" s="24" t="str">
        <f t="shared" si="8"/>
        <v>-- ,</v>
      </c>
    </row>
    <row r="317" spans="12:13">
      <c r="L317" s="24"/>
      <c r="M317" s="24" t="str">
        <f t="shared" si="8"/>
        <v>-- ,</v>
      </c>
    </row>
    <row r="318" spans="12:13">
      <c r="L318" s="24"/>
      <c r="M318" s="24" t="str">
        <f t="shared" si="8"/>
        <v>-- ,</v>
      </c>
    </row>
    <row r="319" spans="12:13">
      <c r="L319" s="24"/>
      <c r="M319" s="24" t="str">
        <f t="shared" si="8"/>
        <v>-- ,</v>
      </c>
    </row>
    <row r="320" spans="12:13">
      <c r="L320" s="24"/>
      <c r="M320" s="24" t="str">
        <f t="shared" si="8"/>
        <v>-- ,</v>
      </c>
    </row>
    <row r="321" spans="12:13">
      <c r="L321" s="24"/>
      <c r="M321" s="24" t="str">
        <f t="shared" si="8"/>
        <v>-- ,</v>
      </c>
    </row>
    <row r="322" spans="12:13">
      <c r="L322" s="24"/>
      <c r="M322" s="24" t="str">
        <f t="shared" si="8"/>
        <v>-- ,</v>
      </c>
    </row>
    <row r="323" spans="12:13">
      <c r="L323" s="24"/>
      <c r="M323" s="24" t="str">
        <f t="shared" si="8"/>
        <v>-- ,</v>
      </c>
    </row>
    <row r="324" spans="12:13">
      <c r="L324" s="24"/>
      <c r="M324" s="24" t="str">
        <f t="shared" si="8"/>
        <v>-- ,</v>
      </c>
    </row>
    <row r="325" spans="12:13">
      <c r="L325" s="24"/>
      <c r="M325" s="20" t="s">
        <v>652</v>
      </c>
    </row>
    <row r="326" spans="12:13">
      <c r="M326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'상품',                                                          'schema', 'dbo', 'table', 'Products';                  -- 테이블</v>
      </c>
    </row>
    <row r="328" spans="12:13">
      <c r="M328" s="20" t="s">
        <v>653</v>
      </c>
    </row>
    <row r="329" spans="12:13">
      <c r="M329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'상품',                                                          'schema', 'dbo', 'table', 'Products';                  -- 테이블</v>
      </c>
    </row>
    <row r="330" spans="12:13">
      <c r="M330" s="24" t="str">
        <f>IF(TRIM($B214)="","-- "&amp;$A214&amp;",",IF(LEFT($B214,2)="--","-- "&amp;$A214&amp;",","")&amp;"EXEC sp_addextendedproperty 'MS_Description', '"&amp;TRIM($C214)&amp;IF($K214="","","("&amp;$K214&amp;")")&amp;"', "&amp;REPT(" ",60-LENB(TRIM($C214)&amp;IF($K214="","","("&amp;$K214&amp;")")))&amp;" 'schema', 'dbo', N'table', '"&amp;TRIM($C$3)&amp;"', 'column', '"&amp;TRIM($B214)&amp;"';"&amp;REPT(" ",20-LENB(TRIM($B214)))&amp;"-- 컬럼")</f>
        <v>-- ,</v>
      </c>
    </row>
    <row r="331" spans="12:13">
      <c r="M331" s="24" t="str">
        <f t="shared" ref="M331:M394" si="9">IF(TRIM($B215)="","-- "&amp;$A215&amp;",",IF(LEFT($B215,2)="--","-- "&amp;$A215&amp;",","")&amp;"EXEC sp_addextendedproperty 'MS_Description', '"&amp;TRIM($C215)&amp;IF($K215="","","("&amp;$K215&amp;")")&amp;"', "&amp;REPT(" ",60-LENB(TRIM($C215)&amp;IF($K215="","","("&amp;$K215&amp;")")))&amp;" 'schema', 'dbo', N'table', '"&amp;TRIM($C$3)&amp;"', 'column', '"&amp;TRIM($B215)&amp;"';"&amp;REPT(" ",20-LENB(TRIM($B215)))&amp;"-- 컬럼")</f>
        <v>-- ,</v>
      </c>
    </row>
    <row r="332" spans="12:13">
      <c r="M332" s="24" t="str">
        <f t="shared" si="9"/>
        <v>-- ,</v>
      </c>
    </row>
    <row r="333" spans="12:13">
      <c r="M333" s="24" t="str">
        <f t="shared" si="9"/>
        <v>-- ,</v>
      </c>
    </row>
    <row r="334" spans="12:13">
      <c r="M334" s="24" t="str">
        <f t="shared" si="9"/>
        <v>-- ,</v>
      </c>
    </row>
    <row r="335" spans="12:13">
      <c r="M335" s="24" t="str">
        <f t="shared" si="9"/>
        <v>-- ,</v>
      </c>
    </row>
    <row r="336" spans="12:13">
      <c r="M336" s="24" t="str">
        <f t="shared" si="9"/>
        <v>-- ,</v>
      </c>
    </row>
    <row r="337" spans="13:13">
      <c r="M337" s="24" t="str">
        <f t="shared" si="9"/>
        <v>-- ,</v>
      </c>
    </row>
    <row r="338" spans="13:13">
      <c r="M338" s="24" t="str">
        <f t="shared" si="9"/>
        <v>-- ,</v>
      </c>
    </row>
    <row r="339" spans="13:13">
      <c r="M339" s="24" t="str">
        <f t="shared" si="9"/>
        <v>-- ,</v>
      </c>
    </row>
    <row r="340" spans="13:13">
      <c r="M340" s="24" t="str">
        <f t="shared" si="9"/>
        <v>-- ,</v>
      </c>
    </row>
    <row r="341" spans="13:13">
      <c r="M341" s="24" t="str">
        <f t="shared" si="9"/>
        <v>-- ,</v>
      </c>
    </row>
    <row r="342" spans="13:13">
      <c r="M342" s="24" t="str">
        <f t="shared" si="9"/>
        <v>-- ,</v>
      </c>
    </row>
    <row r="343" spans="13:13">
      <c r="M343" s="24" t="str">
        <f t="shared" si="9"/>
        <v>-- ,</v>
      </c>
    </row>
    <row r="344" spans="13:13">
      <c r="M344" s="24" t="str">
        <f t="shared" si="9"/>
        <v>-- ,</v>
      </c>
    </row>
    <row r="345" spans="13:13">
      <c r="M345" s="24" t="str">
        <f t="shared" si="9"/>
        <v>-- ,</v>
      </c>
    </row>
    <row r="346" spans="13:13">
      <c r="M346" s="24" t="str">
        <f t="shared" si="9"/>
        <v>-- ,</v>
      </c>
    </row>
    <row r="347" spans="13:13">
      <c r="M347" s="24" t="str">
        <f t="shared" si="9"/>
        <v>-- ,</v>
      </c>
    </row>
    <row r="348" spans="13:13">
      <c r="M348" s="24" t="str">
        <f t="shared" si="9"/>
        <v>-- ,</v>
      </c>
    </row>
    <row r="349" spans="13:13">
      <c r="M349" s="24" t="str">
        <f t="shared" si="9"/>
        <v>-- ,</v>
      </c>
    </row>
    <row r="350" spans="13:13">
      <c r="M350" s="24" t="str">
        <f t="shared" si="9"/>
        <v>-- ,</v>
      </c>
    </row>
    <row r="351" spans="13:13">
      <c r="M351" s="24" t="str">
        <f t="shared" si="9"/>
        <v>-- ,</v>
      </c>
    </row>
    <row r="352" spans="13:13">
      <c r="M352" s="24" t="str">
        <f t="shared" si="9"/>
        <v>-- ,</v>
      </c>
    </row>
    <row r="353" spans="13:13">
      <c r="M353" s="24" t="str">
        <f t="shared" si="9"/>
        <v>-- ,</v>
      </c>
    </row>
    <row r="354" spans="13:13">
      <c r="M354" s="24" t="str">
        <f t="shared" si="9"/>
        <v>-- ,</v>
      </c>
    </row>
    <row r="355" spans="13:13">
      <c r="M355" s="24" t="str">
        <f t="shared" si="9"/>
        <v>-- ,</v>
      </c>
    </row>
    <row r="356" spans="13:13">
      <c r="M356" s="24" t="str">
        <f t="shared" si="9"/>
        <v>-- ,</v>
      </c>
    </row>
    <row r="357" spans="13:13">
      <c r="M357" s="24" t="str">
        <f t="shared" si="9"/>
        <v>-- ,</v>
      </c>
    </row>
    <row r="358" spans="13:13">
      <c r="M358" s="24" t="str">
        <f t="shared" si="9"/>
        <v>-- ,</v>
      </c>
    </row>
    <row r="359" spans="13:13">
      <c r="M359" s="24" t="str">
        <f t="shared" si="9"/>
        <v>-- ,</v>
      </c>
    </row>
    <row r="360" spans="13:13">
      <c r="M360" s="24" t="str">
        <f t="shared" si="9"/>
        <v>-- ,</v>
      </c>
    </row>
    <row r="361" spans="13:13">
      <c r="M361" s="24" t="str">
        <f t="shared" si="9"/>
        <v>-- ,</v>
      </c>
    </row>
    <row r="362" spans="13:13">
      <c r="M362" s="24" t="str">
        <f t="shared" si="9"/>
        <v>-- ,</v>
      </c>
    </row>
    <row r="363" spans="13:13">
      <c r="M363" s="24" t="str">
        <f t="shared" si="9"/>
        <v>-- ,</v>
      </c>
    </row>
    <row r="364" spans="13:13">
      <c r="M364" s="24" t="str">
        <f t="shared" si="9"/>
        <v>-- ,</v>
      </c>
    </row>
    <row r="365" spans="13:13">
      <c r="M365" s="24" t="str">
        <f t="shared" si="9"/>
        <v>-- ,</v>
      </c>
    </row>
    <row r="366" spans="13:13">
      <c r="M366" s="24" t="str">
        <f t="shared" si="9"/>
        <v>-- ,</v>
      </c>
    </row>
    <row r="367" spans="13:13">
      <c r="M367" s="24" t="str">
        <f t="shared" si="9"/>
        <v>-- ,</v>
      </c>
    </row>
    <row r="368" spans="13:13">
      <c r="M368" s="24" t="str">
        <f t="shared" si="9"/>
        <v>-- ,</v>
      </c>
    </row>
    <row r="369" spans="13:13">
      <c r="M369" s="24" t="str">
        <f t="shared" si="9"/>
        <v>-- ,</v>
      </c>
    </row>
    <row r="370" spans="13:13">
      <c r="M370" s="24" t="str">
        <f t="shared" si="9"/>
        <v>-- ,</v>
      </c>
    </row>
    <row r="371" spans="13:13">
      <c r="M371" s="24" t="str">
        <f t="shared" si="9"/>
        <v>-- ,</v>
      </c>
    </row>
    <row r="372" spans="13:13">
      <c r="M372" s="24" t="str">
        <f t="shared" si="9"/>
        <v>-- ,</v>
      </c>
    </row>
    <row r="373" spans="13:13">
      <c r="M373" s="24" t="str">
        <f t="shared" si="9"/>
        <v>-- ,</v>
      </c>
    </row>
    <row r="374" spans="13:13">
      <c r="M374" s="24" t="str">
        <f t="shared" si="9"/>
        <v>-- ,</v>
      </c>
    </row>
    <row r="375" spans="13:13">
      <c r="M375" s="24" t="str">
        <f t="shared" si="9"/>
        <v>-- ,</v>
      </c>
    </row>
    <row r="376" spans="13:13">
      <c r="M376" s="24" t="str">
        <f t="shared" si="9"/>
        <v>-- ,</v>
      </c>
    </row>
    <row r="377" spans="13:13">
      <c r="M377" s="24" t="str">
        <f t="shared" si="9"/>
        <v>-- ,</v>
      </c>
    </row>
    <row r="378" spans="13:13">
      <c r="M378" s="24" t="str">
        <f t="shared" si="9"/>
        <v>-- ,</v>
      </c>
    </row>
    <row r="379" spans="13:13">
      <c r="M379" s="24" t="str">
        <f t="shared" si="9"/>
        <v>-- ,</v>
      </c>
    </row>
    <row r="380" spans="13:13">
      <c r="M380" s="24" t="str">
        <f t="shared" si="9"/>
        <v>-- ,</v>
      </c>
    </row>
    <row r="381" spans="13:13">
      <c r="M381" s="24" t="str">
        <f t="shared" si="9"/>
        <v>-- ,</v>
      </c>
    </row>
    <row r="382" spans="13:13">
      <c r="M382" s="24" t="str">
        <f t="shared" si="9"/>
        <v>-- ,</v>
      </c>
    </row>
    <row r="383" spans="13:13">
      <c r="M383" s="24" t="str">
        <f t="shared" si="9"/>
        <v>-- ,</v>
      </c>
    </row>
    <row r="384" spans="13:13">
      <c r="M384" s="24" t="str">
        <f t="shared" si="9"/>
        <v>-- ,</v>
      </c>
    </row>
    <row r="385" spans="13:13">
      <c r="M385" s="24" t="str">
        <f t="shared" si="9"/>
        <v>-- ,</v>
      </c>
    </row>
    <row r="386" spans="13:13">
      <c r="M386" s="24" t="str">
        <f t="shared" si="9"/>
        <v>-- ,</v>
      </c>
    </row>
    <row r="387" spans="13:13">
      <c r="M387" s="24" t="str">
        <f t="shared" si="9"/>
        <v>-- ,</v>
      </c>
    </row>
    <row r="388" spans="13:13">
      <c r="M388" s="24" t="str">
        <f t="shared" si="9"/>
        <v>-- ,</v>
      </c>
    </row>
    <row r="389" spans="13:13">
      <c r="M389" s="24" t="str">
        <f t="shared" si="9"/>
        <v>-- ,</v>
      </c>
    </row>
    <row r="390" spans="13:13">
      <c r="M390" s="24" t="str">
        <f t="shared" si="9"/>
        <v>-- ,</v>
      </c>
    </row>
    <row r="391" spans="13:13">
      <c r="M391" s="24" t="str">
        <f t="shared" si="9"/>
        <v>-- ,</v>
      </c>
    </row>
    <row r="392" spans="13:13">
      <c r="M392" s="24" t="str">
        <f t="shared" si="9"/>
        <v>-- ,</v>
      </c>
    </row>
    <row r="393" spans="13:13">
      <c r="M393" s="24" t="str">
        <f t="shared" si="9"/>
        <v>-- ,</v>
      </c>
    </row>
    <row r="394" spans="13:13">
      <c r="M394" s="24" t="str">
        <f t="shared" si="9"/>
        <v>-- ,</v>
      </c>
    </row>
    <row r="395" spans="13:13">
      <c r="M395" s="24" t="str">
        <f t="shared" ref="M395:M429" si="10">IF(TRIM($B279)="","-- "&amp;$A279&amp;",",IF(LEFT($B279,2)="--","-- "&amp;$A279&amp;",","")&amp;"EXEC sp_addextendedproperty 'MS_Description', '"&amp;TRIM($C279)&amp;IF($K279="","","("&amp;$K279&amp;")")&amp;"', "&amp;REPT(" ",60-LENB(TRIM($C279)&amp;IF($K279="","","("&amp;$K279&amp;")")))&amp;" 'schema', 'dbo', N'table', '"&amp;TRIM($C$3)&amp;"', 'column', '"&amp;TRIM($B279)&amp;"';"&amp;REPT(" ",20-LENB(TRIM($B279)))&amp;"-- 컬럼")</f>
        <v>-- ,</v>
      </c>
    </row>
    <row r="396" spans="13:13">
      <c r="M396" s="24" t="str">
        <f t="shared" si="10"/>
        <v>-- ,</v>
      </c>
    </row>
    <row r="397" spans="13:13">
      <c r="M397" s="24" t="str">
        <f t="shared" si="10"/>
        <v>-- ,</v>
      </c>
    </row>
    <row r="398" spans="13:13">
      <c r="M398" s="24" t="str">
        <f t="shared" si="10"/>
        <v>-- ,</v>
      </c>
    </row>
    <row r="399" spans="13:13">
      <c r="M399" s="24" t="str">
        <f t="shared" si="10"/>
        <v>-- ,</v>
      </c>
    </row>
    <row r="400" spans="13:13">
      <c r="M400" s="24" t="str">
        <f t="shared" si="10"/>
        <v>-- ,</v>
      </c>
    </row>
    <row r="401" spans="13:13">
      <c r="M401" s="24" t="str">
        <f t="shared" si="10"/>
        <v>-- ,</v>
      </c>
    </row>
    <row r="402" spans="13:13">
      <c r="M402" s="24" t="str">
        <f t="shared" si="10"/>
        <v>-- ,</v>
      </c>
    </row>
    <row r="403" spans="13:13">
      <c r="M403" s="24" t="str">
        <f t="shared" si="10"/>
        <v>-- ,</v>
      </c>
    </row>
    <row r="404" spans="13:13">
      <c r="M404" s="24" t="str">
        <f t="shared" si="10"/>
        <v>-- ,</v>
      </c>
    </row>
    <row r="405" spans="13:13">
      <c r="M405" s="24" t="str">
        <f t="shared" si="10"/>
        <v>-- ,</v>
      </c>
    </row>
    <row r="406" spans="13:13">
      <c r="M406" s="24" t="str">
        <f t="shared" si="10"/>
        <v>-- ,</v>
      </c>
    </row>
    <row r="407" spans="13:13">
      <c r="M407" s="24" t="str">
        <f t="shared" si="10"/>
        <v>-- ,</v>
      </c>
    </row>
    <row r="408" spans="13:13">
      <c r="M408" s="24" t="str">
        <f t="shared" si="10"/>
        <v>-- ,</v>
      </c>
    </row>
    <row r="409" spans="13:13">
      <c r="M409" s="24" t="str">
        <f t="shared" si="10"/>
        <v>-- ,</v>
      </c>
    </row>
    <row r="410" spans="13:13">
      <c r="M410" s="24" t="str">
        <f t="shared" si="10"/>
        <v>-- ,</v>
      </c>
    </row>
    <row r="411" spans="13:13">
      <c r="M411" s="24" t="str">
        <f t="shared" si="10"/>
        <v>-- ,</v>
      </c>
    </row>
    <row r="412" spans="13:13">
      <c r="M412" s="24" t="str">
        <f t="shared" si="10"/>
        <v>-- ,</v>
      </c>
    </row>
    <row r="413" spans="13:13">
      <c r="M413" s="24" t="str">
        <f t="shared" si="10"/>
        <v>-- ,</v>
      </c>
    </row>
    <row r="414" spans="13:13">
      <c r="M414" s="24" t="str">
        <f t="shared" si="10"/>
        <v>-- ,</v>
      </c>
    </row>
    <row r="415" spans="13:13">
      <c r="M415" s="24" t="str">
        <f t="shared" si="10"/>
        <v>-- ,</v>
      </c>
    </row>
    <row r="416" spans="13:13">
      <c r="M416" s="24" t="str">
        <f t="shared" si="10"/>
        <v>-- ,</v>
      </c>
    </row>
    <row r="417" spans="13:13">
      <c r="M417" s="24" t="str">
        <f t="shared" si="10"/>
        <v>-- ,</v>
      </c>
    </row>
    <row r="418" spans="13:13">
      <c r="M418" s="24" t="str">
        <f t="shared" si="10"/>
        <v>-- ,</v>
      </c>
    </row>
    <row r="419" spans="13:13">
      <c r="M419" s="24" t="str">
        <f t="shared" si="10"/>
        <v>-- ,</v>
      </c>
    </row>
    <row r="420" spans="13:13">
      <c r="M420" s="24" t="str">
        <f t="shared" si="10"/>
        <v>-- ,</v>
      </c>
    </row>
    <row r="421" spans="13:13">
      <c r="M421" s="24" t="str">
        <f t="shared" si="10"/>
        <v>-- ,</v>
      </c>
    </row>
    <row r="422" spans="13:13">
      <c r="M422" s="24" t="str">
        <f t="shared" si="10"/>
        <v>-- ,</v>
      </c>
    </row>
    <row r="423" spans="13:13">
      <c r="M423" s="24" t="str">
        <f t="shared" si="10"/>
        <v>-- ,</v>
      </c>
    </row>
    <row r="424" spans="13:13">
      <c r="M424" s="24" t="str">
        <f t="shared" si="10"/>
        <v>-- ,</v>
      </c>
    </row>
    <row r="425" spans="13:13">
      <c r="M425" s="24" t="str">
        <f t="shared" si="10"/>
        <v>-- ,</v>
      </c>
    </row>
    <row r="426" spans="13:13">
      <c r="M426" s="24" t="str">
        <f t="shared" si="10"/>
        <v>-- ,</v>
      </c>
    </row>
    <row r="427" spans="13:13">
      <c r="M427" s="24" t="str">
        <f t="shared" si="10"/>
        <v>-- ,</v>
      </c>
    </row>
    <row r="428" spans="13:13">
      <c r="M428" s="24" t="str">
        <f t="shared" si="10"/>
        <v>-- ,</v>
      </c>
    </row>
    <row r="429" spans="13:13">
      <c r="M429" s="24" t="str">
        <f t="shared" si="10"/>
        <v>-- ,</v>
      </c>
    </row>
    <row r="430" spans="13:13">
      <c r="M430" s="20" t="s">
        <v>654</v>
      </c>
    </row>
    <row r="431" spans="13:13">
      <c r="M431" s="24" t="str">
        <f>IF(TRIM($B315)="","-- "&amp;$A315&amp;",",IF(LEFT($B315,2)="--","-- "&amp;$A315&amp;",","")&amp;"EXEC sp_addextendedproperty 'MS_Description', '"&amp;TRIM($C315)&amp;IF($K315="","","("&amp;$K315&amp;")")&amp;"', "&amp;REPT(" ",60-LENB(TRIM($C315)&amp;IF($K315="","","("&amp;$K315&amp;")")))&amp;" 'schema', 'dbo', N'table', '"&amp;TRIM($C$3)&amp;"', 'column', '"&amp;TRIM($B315)&amp;"';"&amp;REPT(" ",20-LENB(TRIM($B315)))&amp;"-- 컬럼")</f>
        <v>-- ,</v>
      </c>
    </row>
    <row r="432" spans="13:13">
      <c r="M432" s="24" t="str">
        <f t="shared" ref="M432:M495" si="11">IF(TRIM($B316)="","-- "&amp;$A316&amp;",",IF(LEFT($B316,2)="--","-- "&amp;$A316&amp;",","")&amp;"EXEC sp_addextendedproperty 'MS_Description', '"&amp;TRIM($C316)&amp;IF($K316="","","("&amp;$K316&amp;")")&amp;"', "&amp;REPT(" ",60-LENB(TRIM($C316)&amp;IF($K316="","","("&amp;$K316&amp;")")))&amp;" 'schema', 'dbo', N'table', '"&amp;TRIM($C$3)&amp;"', 'column', '"&amp;TRIM($B316)&amp;"';"&amp;REPT(" ",20-LENB(TRIM($B316)))&amp;"-- 컬럼")</f>
        <v>-- ,</v>
      </c>
    </row>
    <row r="433" spans="13:13">
      <c r="M433" s="24" t="str">
        <f t="shared" si="11"/>
        <v>-- ,</v>
      </c>
    </row>
    <row r="434" spans="13:13">
      <c r="M434" s="24" t="str">
        <f t="shared" si="11"/>
        <v>-- ,</v>
      </c>
    </row>
    <row r="435" spans="13:13">
      <c r="M435" s="24" t="str">
        <f t="shared" si="11"/>
        <v>-- ,</v>
      </c>
    </row>
    <row r="436" spans="13:13">
      <c r="M436" s="24" t="str">
        <f t="shared" si="11"/>
        <v>-- ,</v>
      </c>
    </row>
    <row r="437" spans="13:13">
      <c r="M437" s="24" t="str">
        <f t="shared" si="11"/>
        <v>-- ,</v>
      </c>
    </row>
    <row r="438" spans="13:13">
      <c r="M438" s="24" t="str">
        <f t="shared" si="11"/>
        <v>-- ,</v>
      </c>
    </row>
    <row r="439" spans="13:13">
      <c r="M439" s="24" t="str">
        <f t="shared" si="11"/>
        <v>-- ,</v>
      </c>
    </row>
    <row r="440" spans="13:13">
      <c r="M440" s="24" t="str">
        <f t="shared" si="11"/>
        <v>-- ,</v>
      </c>
    </row>
    <row r="441" spans="13:13">
      <c r="M441" s="24" t="str">
        <f t="shared" si="11"/>
        <v>-- ,</v>
      </c>
    </row>
    <row r="442" spans="13:13">
      <c r="M442" s="24" t="str">
        <f t="shared" si="11"/>
        <v>-- ,</v>
      </c>
    </row>
    <row r="443" spans="13:13">
      <c r="M443" s="24" t="str">
        <f t="shared" si="11"/>
        <v>-- ,</v>
      </c>
    </row>
    <row r="444" spans="13:13">
      <c r="M444" s="24" t="str">
        <f t="shared" si="11"/>
        <v>-- ,</v>
      </c>
    </row>
    <row r="445" spans="13:13">
      <c r="M445" s="24" t="str">
        <f t="shared" si="11"/>
        <v>-- ,</v>
      </c>
    </row>
    <row r="446" spans="13:13">
      <c r="M446" s="24" t="str">
        <f t="shared" si="11"/>
        <v>-- ,</v>
      </c>
    </row>
    <row r="447" spans="13:13">
      <c r="M447" s="24" t="str">
        <f t="shared" si="11"/>
        <v>-- ,</v>
      </c>
    </row>
    <row r="448" spans="13:13">
      <c r="M448" s="24" t="str">
        <f t="shared" si="11"/>
        <v>-- ,</v>
      </c>
    </row>
    <row r="449" spans="13:13">
      <c r="M449" s="24" t="str">
        <f t="shared" si="11"/>
        <v>-- ,</v>
      </c>
    </row>
    <row r="450" spans="13:13">
      <c r="M450" s="24" t="str">
        <f t="shared" si="11"/>
        <v>-- ,</v>
      </c>
    </row>
    <row r="451" spans="13:13">
      <c r="M451" s="24" t="str">
        <f t="shared" si="11"/>
        <v>-- ,</v>
      </c>
    </row>
    <row r="452" spans="13:13">
      <c r="M452" s="24" t="str">
        <f t="shared" si="11"/>
        <v>-- ,</v>
      </c>
    </row>
    <row r="453" spans="13:13">
      <c r="M453" s="24" t="str">
        <f t="shared" si="11"/>
        <v>-- ,</v>
      </c>
    </row>
    <row r="454" spans="13:13">
      <c r="M454" s="24" t="str">
        <f t="shared" si="11"/>
        <v>-- ,</v>
      </c>
    </row>
    <row r="455" spans="13:13">
      <c r="M455" s="24" t="str">
        <f t="shared" si="11"/>
        <v>-- ,</v>
      </c>
    </row>
    <row r="456" spans="13:13">
      <c r="M456" s="24" t="str">
        <f t="shared" si="11"/>
        <v>-- ,</v>
      </c>
    </row>
    <row r="457" spans="13:13">
      <c r="M457" s="24" t="str">
        <f t="shared" si="11"/>
        <v>-- ,</v>
      </c>
    </row>
    <row r="458" spans="13:13">
      <c r="M458" s="24" t="str">
        <f t="shared" si="11"/>
        <v>-- ,</v>
      </c>
    </row>
    <row r="459" spans="13:13">
      <c r="M459" s="24" t="str">
        <f t="shared" si="11"/>
        <v>-- ,</v>
      </c>
    </row>
    <row r="460" spans="13:13">
      <c r="M460" s="24" t="str">
        <f t="shared" si="11"/>
        <v>-- ,</v>
      </c>
    </row>
    <row r="461" spans="13:13">
      <c r="M461" s="24" t="str">
        <f t="shared" si="11"/>
        <v>-- ,</v>
      </c>
    </row>
    <row r="462" spans="13:13">
      <c r="M462" s="24" t="str">
        <f t="shared" si="11"/>
        <v>-- ,</v>
      </c>
    </row>
    <row r="463" spans="13:13">
      <c r="M463" s="24" t="str">
        <f t="shared" si="11"/>
        <v>-- ,</v>
      </c>
    </row>
    <row r="464" spans="13:13">
      <c r="M464" s="24" t="str">
        <f t="shared" si="11"/>
        <v>-- ,</v>
      </c>
    </row>
    <row r="465" spans="13:13">
      <c r="M465" s="24" t="str">
        <f t="shared" si="11"/>
        <v>-- ,</v>
      </c>
    </row>
    <row r="466" spans="13:13">
      <c r="M466" s="24" t="str">
        <f t="shared" si="11"/>
        <v>-- ,</v>
      </c>
    </row>
    <row r="467" spans="13:13">
      <c r="M467" s="24" t="str">
        <f t="shared" si="11"/>
        <v>-- ,</v>
      </c>
    </row>
    <row r="468" spans="13:13">
      <c r="M468" s="24" t="str">
        <f t="shared" si="11"/>
        <v>-- ,</v>
      </c>
    </row>
    <row r="469" spans="13:13">
      <c r="M469" s="24" t="str">
        <f t="shared" si="11"/>
        <v>-- ,</v>
      </c>
    </row>
    <row r="470" spans="13:13">
      <c r="M470" s="24" t="str">
        <f t="shared" si="11"/>
        <v>-- ,</v>
      </c>
    </row>
    <row r="471" spans="13:13">
      <c r="M471" s="24" t="str">
        <f t="shared" si="11"/>
        <v>-- ,</v>
      </c>
    </row>
    <row r="472" spans="13:13">
      <c r="M472" s="24" t="str">
        <f t="shared" si="11"/>
        <v>-- ,</v>
      </c>
    </row>
    <row r="473" spans="13:13">
      <c r="M473" s="24" t="str">
        <f t="shared" si="11"/>
        <v>-- ,</v>
      </c>
    </row>
    <row r="474" spans="13:13">
      <c r="M474" s="24" t="str">
        <f t="shared" si="11"/>
        <v>-- ,</v>
      </c>
    </row>
    <row r="475" spans="13:13">
      <c r="M475" s="24" t="str">
        <f t="shared" si="11"/>
        <v>-- ,</v>
      </c>
    </row>
    <row r="476" spans="13:13">
      <c r="M476" s="24" t="str">
        <f t="shared" si="11"/>
        <v>-- ,</v>
      </c>
    </row>
    <row r="477" spans="13:13">
      <c r="M477" s="24" t="str">
        <f t="shared" si="11"/>
        <v>-- ,</v>
      </c>
    </row>
    <row r="478" spans="13:13">
      <c r="M478" s="24" t="str">
        <f t="shared" si="11"/>
        <v>-- ,</v>
      </c>
    </row>
    <row r="479" spans="13:13">
      <c r="M479" s="24" t="str">
        <f t="shared" si="11"/>
        <v>-- ,</v>
      </c>
    </row>
    <row r="480" spans="13:13">
      <c r="M480" s="24" t="str">
        <f t="shared" si="11"/>
        <v>-- ,</v>
      </c>
    </row>
    <row r="481" spans="13:13">
      <c r="M481" s="24" t="str">
        <f t="shared" si="11"/>
        <v>-- ,</v>
      </c>
    </row>
    <row r="482" spans="13:13">
      <c r="M482" s="24" t="str">
        <f t="shared" si="11"/>
        <v>-- ,</v>
      </c>
    </row>
    <row r="483" spans="13:13">
      <c r="M483" s="24" t="str">
        <f t="shared" si="11"/>
        <v>-- ,</v>
      </c>
    </row>
    <row r="484" spans="13:13">
      <c r="M484" s="24" t="str">
        <f t="shared" si="11"/>
        <v>-- ,</v>
      </c>
    </row>
    <row r="485" spans="13:13">
      <c r="M485" s="24" t="str">
        <f t="shared" si="11"/>
        <v>-- ,</v>
      </c>
    </row>
    <row r="486" spans="13:13">
      <c r="M486" s="24" t="str">
        <f t="shared" si="11"/>
        <v>-- ,</v>
      </c>
    </row>
    <row r="487" spans="13:13">
      <c r="M487" s="24" t="str">
        <f t="shared" si="11"/>
        <v>-- ,</v>
      </c>
    </row>
    <row r="488" spans="13:13">
      <c r="M488" s="24" t="str">
        <f t="shared" si="11"/>
        <v>-- ,</v>
      </c>
    </row>
    <row r="489" spans="13:13">
      <c r="M489" s="24" t="str">
        <f t="shared" si="11"/>
        <v>-- ,</v>
      </c>
    </row>
    <row r="490" spans="13:13">
      <c r="M490" s="24" t="str">
        <f t="shared" si="11"/>
        <v>-- ,</v>
      </c>
    </row>
    <row r="491" spans="13:13">
      <c r="M491" s="24" t="str">
        <f t="shared" si="11"/>
        <v>-- ,</v>
      </c>
    </row>
    <row r="492" spans="13:13">
      <c r="M492" s="24" t="str">
        <f t="shared" si="11"/>
        <v>-- ,</v>
      </c>
    </row>
    <row r="493" spans="13:13">
      <c r="M493" s="24" t="str">
        <f t="shared" si="11"/>
        <v>-- ,</v>
      </c>
    </row>
    <row r="494" spans="13:13">
      <c r="M494" s="24" t="str">
        <f t="shared" si="11"/>
        <v>-- ,</v>
      </c>
    </row>
    <row r="495" spans="13:13">
      <c r="M495" s="24" t="str">
        <f t="shared" si="11"/>
        <v>-- ,</v>
      </c>
    </row>
    <row r="496" spans="13:13">
      <c r="M496" s="24" t="str">
        <f t="shared" ref="M496:M530" si="12">IF(TRIM($B380)="","-- "&amp;$A380&amp;",",IF(LEFT($B380,2)="--","-- "&amp;$A380&amp;",","")&amp;"EXEC sp_addextendedproperty 'MS_Description', '"&amp;TRIM($C380)&amp;IF($K380="","","("&amp;$K380&amp;")")&amp;"', "&amp;REPT(" ",60-LENB(TRIM($C380)&amp;IF($K380="","","("&amp;$K380&amp;")")))&amp;" 'schema', 'dbo', N'table', '"&amp;TRIM($C$3)&amp;"', 'column', '"&amp;TRIM($B380)&amp;"';"&amp;REPT(" ",20-LENB(TRIM($B380)))&amp;"-- 컬럼")</f>
        <v>-- ,</v>
      </c>
    </row>
    <row r="497" spans="13:13">
      <c r="M497" s="24" t="str">
        <f t="shared" si="12"/>
        <v>-- ,</v>
      </c>
    </row>
    <row r="498" spans="13:13">
      <c r="M498" s="24" t="str">
        <f t="shared" si="12"/>
        <v>-- ,</v>
      </c>
    </row>
    <row r="499" spans="13:13">
      <c r="M499" s="24" t="str">
        <f t="shared" si="12"/>
        <v>-- ,</v>
      </c>
    </row>
    <row r="500" spans="13:13">
      <c r="M500" s="24" t="str">
        <f t="shared" si="12"/>
        <v>-- ,</v>
      </c>
    </row>
    <row r="501" spans="13:13">
      <c r="M501" s="24" t="str">
        <f t="shared" si="12"/>
        <v>-- ,</v>
      </c>
    </row>
    <row r="502" spans="13:13">
      <c r="M502" s="24" t="str">
        <f t="shared" si="12"/>
        <v>-- ,</v>
      </c>
    </row>
    <row r="503" spans="13:13">
      <c r="M503" s="24" t="str">
        <f t="shared" si="12"/>
        <v>-- ,</v>
      </c>
    </row>
    <row r="504" spans="13:13">
      <c r="M504" s="24" t="str">
        <f t="shared" si="12"/>
        <v>-- ,</v>
      </c>
    </row>
    <row r="505" spans="13:13">
      <c r="M505" s="24" t="str">
        <f t="shared" si="12"/>
        <v>-- ,</v>
      </c>
    </row>
    <row r="506" spans="13:13">
      <c r="M506" s="24" t="str">
        <f t="shared" si="12"/>
        <v>-- ,</v>
      </c>
    </row>
    <row r="507" spans="13:13">
      <c r="M507" s="24" t="str">
        <f t="shared" si="12"/>
        <v>-- ,</v>
      </c>
    </row>
    <row r="508" spans="13:13">
      <c r="M508" s="24" t="str">
        <f t="shared" si="12"/>
        <v>-- ,</v>
      </c>
    </row>
    <row r="509" spans="13:13">
      <c r="M509" s="24" t="str">
        <f t="shared" si="12"/>
        <v>-- ,</v>
      </c>
    </row>
    <row r="510" spans="13:13">
      <c r="M510" s="24" t="str">
        <f t="shared" si="12"/>
        <v>-- ,</v>
      </c>
    </row>
    <row r="511" spans="13:13">
      <c r="M511" s="24" t="str">
        <f t="shared" si="12"/>
        <v>-- ,</v>
      </c>
    </row>
    <row r="512" spans="13:13">
      <c r="M512" s="24" t="str">
        <f t="shared" si="12"/>
        <v>-- ,</v>
      </c>
    </row>
    <row r="513" spans="13:13">
      <c r="M513" s="24" t="str">
        <f t="shared" si="12"/>
        <v>-- ,</v>
      </c>
    </row>
    <row r="514" spans="13:13">
      <c r="M514" s="24" t="str">
        <f t="shared" si="12"/>
        <v>-- ,</v>
      </c>
    </row>
    <row r="515" spans="13:13">
      <c r="M515" s="24" t="str">
        <f t="shared" si="12"/>
        <v>-- ,</v>
      </c>
    </row>
    <row r="516" spans="13:13">
      <c r="M516" s="24" t="str">
        <f t="shared" si="12"/>
        <v>-- ,</v>
      </c>
    </row>
    <row r="517" spans="13:13">
      <c r="M517" s="24" t="str">
        <f t="shared" si="12"/>
        <v>-- ,</v>
      </c>
    </row>
    <row r="518" spans="13:13">
      <c r="M518" s="24" t="str">
        <f t="shared" si="12"/>
        <v>-- ,</v>
      </c>
    </row>
    <row r="519" spans="13:13">
      <c r="M519" s="24" t="str">
        <f t="shared" si="12"/>
        <v>-- ,</v>
      </c>
    </row>
    <row r="520" spans="13:13">
      <c r="M520" s="24" t="str">
        <f t="shared" si="12"/>
        <v>-- ,</v>
      </c>
    </row>
    <row r="521" spans="13:13">
      <c r="M521" s="24" t="str">
        <f t="shared" si="12"/>
        <v>-- ,</v>
      </c>
    </row>
    <row r="522" spans="13:13">
      <c r="M522" s="24" t="str">
        <f t="shared" si="12"/>
        <v>-- ,</v>
      </c>
    </row>
    <row r="523" spans="13:13">
      <c r="M523" s="24" t="str">
        <f t="shared" si="12"/>
        <v>-- ,</v>
      </c>
    </row>
    <row r="524" spans="13:13">
      <c r="M524" s="24" t="str">
        <f t="shared" si="12"/>
        <v>-- ,</v>
      </c>
    </row>
    <row r="525" spans="13:13">
      <c r="M525" s="24" t="str">
        <f t="shared" si="12"/>
        <v>-- ,</v>
      </c>
    </row>
    <row r="526" spans="13:13">
      <c r="M526" s="24" t="str">
        <f t="shared" si="12"/>
        <v>-- ,</v>
      </c>
    </row>
    <row r="527" spans="13:13">
      <c r="M527" s="24" t="str">
        <f t="shared" si="12"/>
        <v>-- ,</v>
      </c>
    </row>
    <row r="528" spans="13:13">
      <c r="M528" s="24" t="str">
        <f t="shared" si="12"/>
        <v>-- ,</v>
      </c>
    </row>
    <row r="529" spans="13:13">
      <c r="M529" s="24" t="str">
        <f t="shared" si="12"/>
        <v>-- ,</v>
      </c>
    </row>
    <row r="530" spans="13:13">
      <c r="M530" s="24" t="str">
        <f t="shared" si="12"/>
        <v>-- ,</v>
      </c>
    </row>
    <row r="531" spans="13:13">
      <c r="M531" s="20" t="s">
        <v>655</v>
      </c>
    </row>
    <row r="533" spans="13:13">
      <c r="M533" s="20" t="s">
        <v>656</v>
      </c>
    </row>
  </sheetData>
  <mergeCells count="12">
    <mergeCell ref="A4:B4"/>
    <mergeCell ref="C4:K4"/>
    <mergeCell ref="A5:B5"/>
    <mergeCell ref="D5:E5"/>
    <mergeCell ref="F5:G5"/>
    <mergeCell ref="A1:K1"/>
    <mergeCell ref="A2:B2"/>
    <mergeCell ref="C2:F2"/>
    <mergeCell ref="H2:I2"/>
    <mergeCell ref="A3:B3"/>
    <mergeCell ref="D3:F3"/>
    <mergeCell ref="H3:I3"/>
  </mergeCells>
  <phoneticPr fontId="6" type="noConversion"/>
  <pageMargins left="0.39370078740157483" right="0.39370078740157483" top="0.78740157480314965" bottom="0.39370078740157483" header="0" footer="0"/>
  <pageSetup paperSize="9" scale="93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>
    <tabColor rgb="FFFFFF00"/>
  </sheetPr>
  <dimension ref="A1:V533"/>
  <sheetViews>
    <sheetView showZeros="0" tabSelected="1" view="pageBreakPreview" zoomScaleNormal="100" zoomScaleSheetLayoutView="100" workbookViewId="0">
      <pane xSplit="1" ySplit="6" topLeftCell="B7" activePane="bottomRight" state="frozen"/>
      <selection activeCell="C25" sqref="C25"/>
      <selection pane="topRight" activeCell="C25" sqref="C25"/>
      <selection pane="bottomLeft" activeCell="C25" sqref="C25"/>
      <selection pane="bottomRight" activeCell="B16" sqref="B16"/>
    </sheetView>
  </sheetViews>
  <sheetFormatPr defaultColWidth="9.375" defaultRowHeight="10.8"/>
  <cols>
    <col min="1" max="1" width="4" style="20" bestFit="1" customWidth="1"/>
    <col min="2" max="2" width="13.375" style="20" customWidth="1"/>
    <col min="3" max="3" width="16.5" style="20" customWidth="1"/>
    <col min="4" max="4" width="13.375" style="28" bestFit="1" customWidth="1"/>
    <col min="5" max="5" width="6" style="28" bestFit="1" customWidth="1"/>
    <col min="6" max="7" width="8" style="20" bestFit="1" customWidth="1"/>
    <col min="8" max="8" width="10" style="20" bestFit="1" customWidth="1"/>
    <col min="9" max="10" width="9" style="20" bestFit="1" customWidth="1"/>
    <col min="11" max="11" width="29" style="20" customWidth="1"/>
    <col min="12" max="12" width="11" style="20" bestFit="1" customWidth="1"/>
    <col min="13" max="13" width="31.375" style="20" customWidth="1"/>
    <col min="14" max="16384" width="9.375" style="20"/>
  </cols>
  <sheetData>
    <row r="1" spans="1:22" ht="26.25" customHeight="1">
      <c r="A1" s="142" t="s">
        <v>24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2" spans="1:22">
      <c r="A2" s="135" t="s">
        <v>7</v>
      </c>
      <c r="B2" s="136"/>
      <c r="C2" s="143" t="str">
        <f>시스템정보!B2</f>
        <v>일대일거래APP</v>
      </c>
      <c r="D2" s="144"/>
      <c r="E2" s="144"/>
      <c r="F2" s="145"/>
      <c r="G2" s="96" t="s">
        <v>9</v>
      </c>
      <c r="H2" s="146" t="s">
        <v>247</v>
      </c>
      <c r="I2" s="147"/>
      <c r="J2" s="96" t="s">
        <v>11</v>
      </c>
      <c r="K2" s="59" t="s">
        <v>662</v>
      </c>
    </row>
    <row r="3" spans="1:22" ht="13.2">
      <c r="A3" s="135" t="s">
        <v>8</v>
      </c>
      <c r="B3" s="136"/>
      <c r="C3" s="32" t="s">
        <v>749</v>
      </c>
      <c r="D3" s="146" t="s">
        <v>748</v>
      </c>
      <c r="E3" s="148"/>
      <c r="F3" s="147"/>
      <c r="G3" s="96" t="s">
        <v>10</v>
      </c>
      <c r="H3" s="146" t="s">
        <v>247</v>
      </c>
      <c r="I3" s="147"/>
      <c r="J3" s="96" t="s">
        <v>18</v>
      </c>
      <c r="K3" s="59" t="s">
        <v>662</v>
      </c>
      <c r="M3" s="22"/>
    </row>
    <row r="4" spans="1:22" ht="13.2">
      <c r="A4" s="135" t="s">
        <v>6</v>
      </c>
      <c r="B4" s="136"/>
      <c r="C4" s="137" t="s">
        <v>750</v>
      </c>
      <c r="D4" s="137"/>
      <c r="E4" s="137"/>
      <c r="F4" s="137"/>
      <c r="G4" s="137"/>
      <c r="H4" s="137"/>
      <c r="I4" s="137"/>
      <c r="J4" s="137"/>
      <c r="K4" s="137"/>
      <c r="M4" s="22" t="str">
        <f>"DROP TABLE "&amp; $C$3 &amp;";"</f>
        <v>DROP TABLE History;</v>
      </c>
    </row>
    <row r="5" spans="1:22" ht="13.2">
      <c r="A5" s="138" t="s">
        <v>136</v>
      </c>
      <c r="B5" s="139"/>
      <c r="C5" s="97" t="s">
        <v>248</v>
      </c>
      <c r="D5" s="138" t="s">
        <v>135</v>
      </c>
      <c r="E5" s="140"/>
      <c r="F5" s="141" t="s">
        <v>664</v>
      </c>
      <c r="G5" s="140"/>
      <c r="H5" s="96" t="s">
        <v>273</v>
      </c>
      <c r="I5" s="97" t="s">
        <v>138</v>
      </c>
      <c r="J5" s="97"/>
      <c r="K5" s="97"/>
      <c r="M5" s="22"/>
    </row>
    <row r="6" spans="1:22">
      <c r="A6" s="96" t="s">
        <v>1</v>
      </c>
      <c r="B6" s="96" t="s">
        <v>12</v>
      </c>
      <c r="C6" s="96" t="s">
        <v>13</v>
      </c>
      <c r="D6" s="96" t="s">
        <v>14</v>
      </c>
      <c r="E6" s="96" t="s">
        <v>15</v>
      </c>
      <c r="F6" s="96" t="s">
        <v>16</v>
      </c>
      <c r="G6" s="96" t="s">
        <v>26</v>
      </c>
      <c r="H6" s="96" t="s">
        <v>25</v>
      </c>
      <c r="I6" s="96" t="s">
        <v>17</v>
      </c>
      <c r="J6" s="96" t="s">
        <v>274</v>
      </c>
      <c r="K6" s="96" t="s">
        <v>6</v>
      </c>
      <c r="M6" s="23" t="str">
        <f>"CREATE TABLE " &amp; $C$3 &amp; " ("</f>
        <v>CREATE TABLE History (</v>
      </c>
      <c r="V6" s="23" t="str">
        <f>LEFT(UPPER($C$3)&amp;REPT(" ",30),30)
&amp;LEFT(SUBSTITUTE(LOWER(MID(SUBSTITUTE(PROPER($C$3),"_",""),1,1))&amp;MID(SUBSTITUTE(PROPER($C$3),"_",""),2,LEN(SUBSTITUTE(PROPER($C$3),"_",""))),"tb","")&amp;REPT(" ",30),30)
&amp;LEFT($D$3&amp;REPT(" ",30),30)</f>
        <v xml:space="preserve">HISTORY                       history                       이력                            </v>
      </c>
    </row>
    <row r="7" spans="1:22" ht="21.6">
      <c r="A7" s="59">
        <v>1</v>
      </c>
      <c r="B7" s="2" t="s">
        <v>756</v>
      </c>
      <c r="C7" s="2" t="s">
        <v>751</v>
      </c>
      <c r="D7" s="17" t="s">
        <v>275</v>
      </c>
      <c r="E7" s="39">
        <v>256</v>
      </c>
      <c r="F7" s="40"/>
      <c r="G7" s="38"/>
      <c r="H7" s="42"/>
      <c r="I7" s="41"/>
      <c r="J7" s="38"/>
      <c r="K7" s="43"/>
      <c r="M7" s="23" t="str">
        <f>REPT(" ",13)&amp;IF(ISBLANK($B7),"--"&amp;$A7,
LEFT(SUBSTITUTE($B7," ","*")&amp;REPT("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       historyNumber                 VARCHAR(256)                                                ,</v>
      </c>
      <c r="V7" s="23" t="str">
        <f>REPT(" ",6)&amp;
IF(ISBLANK($B7),"--"&amp;UPPER($A7),LEFT(SUBSTITUTE(UPPER($B7)," ","*")&amp;REPT(" ",30),30)&amp;
LEFT("AS " &amp; LOWER(MID(SUBSTITUTE(PROPER($B7),"_",""),1,1))&amp;MID(SUBSTITUTE(PROPER($B7),"_",""),2,LEN(SUBSTITUTE(PROPER($B7),"_","")))&amp;REPT(" ",30),30)&amp;
LEFT(IF(ISBLANK($C7),"/**/","/* "&amp;$C7)&amp;" */"&amp;REPT(" ",30),30))</f>
        <v xml:space="preserve">      HISTORYNUMBER                 AS historynumber              /* 이력번호 */                    </v>
      </c>
    </row>
    <row r="8" spans="1:22" ht="21.6">
      <c r="A8" s="59">
        <v>2</v>
      </c>
      <c r="B8" s="2" t="s">
        <v>757</v>
      </c>
      <c r="C8" s="2" t="s">
        <v>752</v>
      </c>
      <c r="D8" s="17" t="s">
        <v>275</v>
      </c>
      <c r="E8" s="33">
        <v>256</v>
      </c>
      <c r="F8" s="39"/>
      <c r="G8" s="44"/>
      <c r="H8" s="38"/>
      <c r="I8" s="41"/>
      <c r="J8" s="38"/>
      <c r="K8" s="43" t="s">
        <v>753</v>
      </c>
      <c r="M8" s="23" t="str">
        <f t="shared" ref="M8:M71" si="0">REPT(" ",13)&amp;IF(ISBLANK($B8),"--"&amp;$A8,
LEFT(SUBSTITUTE($B8," ","*")&amp;REPT(" ",30),30)&amp;
LEFT(IF(ISBLANK($D8),"",IF(OR(UPPER($D8)="DATE",UPPER($D8)="CLOB",UPPER($D8)="BLOB",UPPER($D8)="LONG",UPPER($D8)="TIMESTAMP"),UPPER($D8),IF(ISBLANK($E8),UPPER($D8),UPPER($D8)&amp;"("&amp;$E8&amp;")")))&amp;REPT(" ",15),15)&amp;
LEFT(IF(ISBLANK($F8),"","DEFAULT  "&amp;$F8)&amp;REPT(" ",19),19)&amp;
LEFT(IF(ISBLANK($J8),""," identity(" &amp; $J8 &amp; ") ")&amp;REPT(" ",17),17)&amp;
LEFT(IF(ISBLANK($H8),""," NOT NULL")&amp;REPT(" ",9),9)&amp;
IF(AND(ISBLANK(G$7),ISBLANK($B9)),"",","))</f>
        <v xml:space="preserve">             historyCategory               VARCHAR(256)                                                ,</v>
      </c>
      <c r="V8" s="23" t="str">
        <f t="shared" ref="V8:V71" si="1">REPT(" ",6)&amp;
IF(ISBLANK($B8),"--"&amp;UPPER($A8),LEFT(SUBSTITUTE(UPPER($B8)," ","*")&amp;REPT(" ",30),30)&amp;
LEFT("AS " &amp; LOWER(MID(SUBSTITUTE(PROPER($B8),"_",""),1,1))&amp;MID(SUBSTITUTE(PROPER($B8),"_",""),2,LEN(SUBSTITUTE(PROPER($B8),"_","")))&amp;REPT(" ",30),30)&amp;
LEFT(IF(ISBLANK($C8),"/**/","/* "&amp;$C8)&amp;" */"&amp;REPT(" ",30),30))</f>
        <v xml:space="preserve">      HISTORYCATEGORY               AS historycategory            /* 이력구분 */                    </v>
      </c>
    </row>
    <row r="9" spans="1:22" ht="21.6">
      <c r="A9" s="59">
        <v>3</v>
      </c>
      <c r="B9" s="2" t="s">
        <v>759</v>
      </c>
      <c r="C9" s="2" t="s">
        <v>758</v>
      </c>
      <c r="D9" s="17" t="s">
        <v>275</v>
      </c>
      <c r="E9" s="33">
        <v>256</v>
      </c>
      <c r="F9" s="39"/>
      <c r="G9" s="44"/>
      <c r="H9" s="38"/>
      <c r="I9" s="41"/>
      <c r="J9" s="41"/>
      <c r="K9" s="43" t="s">
        <v>754</v>
      </c>
      <c r="M9" s="23" t="str">
        <f t="shared" si="0"/>
        <v xml:space="preserve">             subDivide                     VARCHAR(256)                                                ,</v>
      </c>
      <c r="V9" s="23" t="str">
        <f t="shared" si="1"/>
        <v xml:space="preserve">      SUBDIVIDE                     AS subdivide                  /* 하위구분 */                    </v>
      </c>
    </row>
    <row r="10" spans="1:22">
      <c r="A10" s="59">
        <v>4</v>
      </c>
      <c r="B10" s="92" t="s">
        <v>760</v>
      </c>
      <c r="C10" s="92" t="s">
        <v>755</v>
      </c>
      <c r="D10" s="17" t="s">
        <v>275</v>
      </c>
      <c r="E10" s="33">
        <v>256</v>
      </c>
      <c r="F10" s="33"/>
      <c r="G10" s="33"/>
      <c r="H10" s="33"/>
      <c r="I10" s="35"/>
      <c r="J10" s="35"/>
      <c r="K10" s="43"/>
      <c r="M10" s="23" t="str">
        <f t="shared" si="0"/>
        <v xml:space="preserve">             contents                      VARCHAR(256)                                                ,</v>
      </c>
      <c r="V10" s="23" t="str">
        <f t="shared" si="1"/>
        <v xml:space="preserve">      CONTENTS                      AS contents                   /* 내용 */                      </v>
      </c>
    </row>
    <row r="11" spans="1:22">
      <c r="A11" s="59">
        <v>5</v>
      </c>
      <c r="B11" s="92" t="s">
        <v>709</v>
      </c>
      <c r="C11" s="92" t="s">
        <v>707</v>
      </c>
      <c r="D11" s="17" t="s">
        <v>275</v>
      </c>
      <c r="E11" s="33">
        <v>256</v>
      </c>
      <c r="F11" s="33"/>
      <c r="G11" s="33"/>
      <c r="H11" s="33"/>
      <c r="I11" s="35"/>
      <c r="J11" s="35"/>
      <c r="K11" s="43" t="s">
        <v>711</v>
      </c>
      <c r="M11" s="23" t="str">
        <f t="shared" si="0"/>
        <v xml:space="preserve">             useAt                         VARCHAR(256)                                                ,</v>
      </c>
      <c r="V11" s="23" t="str">
        <f t="shared" si="1"/>
        <v xml:space="preserve">      USEAT                         AS useat                      /* 사용여부 */                    </v>
      </c>
    </row>
    <row r="12" spans="1:22">
      <c r="A12" s="59">
        <v>6</v>
      </c>
      <c r="B12" s="91" t="s">
        <v>710</v>
      </c>
      <c r="C12" s="91" t="s">
        <v>708</v>
      </c>
      <c r="D12" s="17" t="s">
        <v>275</v>
      </c>
      <c r="E12" s="33">
        <v>256</v>
      </c>
      <c r="F12" s="35"/>
      <c r="G12" s="33"/>
      <c r="H12" s="33"/>
      <c r="I12" s="35"/>
      <c r="J12" s="35"/>
      <c r="K12" s="43" t="s">
        <v>711</v>
      </c>
      <c r="M12" s="23" t="str">
        <f t="shared" si="0"/>
        <v xml:space="preserve">             delAt                         VARCHAR(256)                                                ,</v>
      </c>
      <c r="V12" s="23" t="str">
        <f t="shared" si="1"/>
        <v xml:space="preserve">      DELAT                         AS delat                      /* 삭제여부 */                    </v>
      </c>
    </row>
    <row r="13" spans="1:22">
      <c r="A13" s="59">
        <v>7</v>
      </c>
      <c r="B13" s="92" t="s">
        <v>671</v>
      </c>
      <c r="C13" s="92" t="s">
        <v>635</v>
      </c>
      <c r="D13" s="17" t="s">
        <v>275</v>
      </c>
      <c r="E13" s="33">
        <v>256</v>
      </c>
      <c r="F13" s="33"/>
      <c r="G13" s="33"/>
      <c r="H13" s="33"/>
      <c r="I13" s="35"/>
      <c r="J13" s="35"/>
      <c r="K13" s="43"/>
      <c r="M13" s="23" t="str">
        <f t="shared" si="0"/>
        <v xml:space="preserve">             createId                      VARCHAR(256)                                                ,</v>
      </c>
      <c r="V13" s="23" t="str">
        <f t="shared" si="1"/>
        <v xml:space="preserve">      CREATEID                      AS createid                   /* 생성자 */                     </v>
      </c>
    </row>
    <row r="14" spans="1:22">
      <c r="A14" s="59">
        <v>8</v>
      </c>
      <c r="B14" s="91" t="s">
        <v>674</v>
      </c>
      <c r="C14" s="91" t="s">
        <v>636</v>
      </c>
      <c r="D14" s="17" t="s">
        <v>275</v>
      </c>
      <c r="E14" s="33">
        <v>256</v>
      </c>
      <c r="F14" s="35"/>
      <c r="G14" s="33"/>
      <c r="H14" s="33"/>
      <c r="I14" s="35"/>
      <c r="J14" s="35"/>
      <c r="K14" s="43"/>
      <c r="M14" s="23" t="str">
        <f t="shared" si="0"/>
        <v xml:space="preserve">             createDate                    VARCHAR(256)                                                ,</v>
      </c>
      <c r="V14" s="23" t="str">
        <f t="shared" si="1"/>
        <v xml:space="preserve">      CREATEDATE                    AS createdate                 /* 생성 일시 */                   </v>
      </c>
    </row>
    <row r="15" spans="1:22">
      <c r="A15" s="59">
        <v>9</v>
      </c>
      <c r="B15" s="91" t="s">
        <v>672</v>
      </c>
      <c r="C15" s="91" t="s">
        <v>682</v>
      </c>
      <c r="D15" s="33" t="s">
        <v>275</v>
      </c>
      <c r="E15" s="33">
        <v>256</v>
      </c>
      <c r="F15" s="33"/>
      <c r="G15" s="33"/>
      <c r="H15" s="33"/>
      <c r="I15" s="35"/>
      <c r="J15" s="35"/>
      <c r="K15" s="90"/>
      <c r="M15" s="23" t="str">
        <f t="shared" si="0"/>
        <v xml:space="preserve">             updateId                      VARCHAR(256)                                                ,</v>
      </c>
      <c r="V15" s="23" t="str">
        <f t="shared" si="1"/>
        <v xml:space="preserve">      UPDATEID                      AS updateid                   /* 수정자 */                     </v>
      </c>
    </row>
    <row r="16" spans="1:22">
      <c r="A16" s="59">
        <v>10</v>
      </c>
      <c r="B16" s="91" t="s">
        <v>673</v>
      </c>
      <c r="C16" s="91" t="s">
        <v>637</v>
      </c>
      <c r="D16" s="17" t="s">
        <v>275</v>
      </c>
      <c r="E16" s="33">
        <v>256</v>
      </c>
      <c r="F16" s="35"/>
      <c r="G16" s="33"/>
      <c r="H16" s="33"/>
      <c r="I16" s="35"/>
      <c r="J16" s="35"/>
      <c r="K16" s="90"/>
      <c r="M16" s="23" t="str">
        <f t="shared" si="0"/>
        <v xml:space="preserve">             updateDate                    VARCHAR(256)                                                </v>
      </c>
      <c r="V16" s="23" t="str">
        <f t="shared" si="1"/>
        <v xml:space="preserve">      UPDATEDATE                    AS updatedate                 /* 갱신 일시 */                   </v>
      </c>
    </row>
    <row r="17" spans="1:22">
      <c r="A17" s="59">
        <v>11</v>
      </c>
      <c r="B17" s="91"/>
      <c r="C17" s="91"/>
      <c r="D17" s="33"/>
      <c r="E17" s="33"/>
      <c r="F17" s="35"/>
      <c r="G17" s="33"/>
      <c r="H17" s="33"/>
      <c r="I17" s="35"/>
      <c r="J17" s="35"/>
      <c r="K17" s="90"/>
      <c r="M17" s="23" t="str">
        <f t="shared" si="0"/>
        <v xml:space="preserve">             --11</v>
      </c>
      <c r="V17" s="23" t="str">
        <f t="shared" si="1"/>
        <v xml:space="preserve">      --11</v>
      </c>
    </row>
    <row r="18" spans="1:22">
      <c r="A18" s="59">
        <v>12</v>
      </c>
      <c r="B18" s="91"/>
      <c r="C18" s="91"/>
      <c r="D18" s="33"/>
      <c r="E18" s="33"/>
      <c r="F18" s="33"/>
      <c r="G18" s="33"/>
      <c r="H18" s="33"/>
      <c r="I18" s="35"/>
      <c r="J18" s="35"/>
      <c r="K18" s="90"/>
      <c r="M18" s="23" t="str">
        <f t="shared" si="0"/>
        <v xml:space="preserve">             --12</v>
      </c>
      <c r="V18" s="23" t="str">
        <f t="shared" si="1"/>
        <v xml:space="preserve">      --12</v>
      </c>
    </row>
    <row r="19" spans="1:22">
      <c r="A19" s="59">
        <v>13</v>
      </c>
      <c r="B19" s="91"/>
      <c r="C19" s="2"/>
      <c r="D19" s="38"/>
      <c r="E19" s="39"/>
      <c r="F19" s="33"/>
      <c r="G19" s="33"/>
      <c r="H19" s="33"/>
      <c r="I19" s="93"/>
      <c r="J19" s="93"/>
      <c r="K19" s="19"/>
      <c r="M19" s="23" t="str">
        <f t="shared" si="0"/>
        <v xml:space="preserve">             --13</v>
      </c>
      <c r="V19" s="23" t="str">
        <f t="shared" si="1"/>
        <v xml:space="preserve">      --13</v>
      </c>
    </row>
    <row r="20" spans="1:22">
      <c r="A20" s="59">
        <v>14</v>
      </c>
      <c r="B20" s="92"/>
      <c r="C20" s="92"/>
      <c r="D20" s="33"/>
      <c r="E20" s="33"/>
      <c r="F20" s="33"/>
      <c r="G20" s="33"/>
      <c r="H20" s="33"/>
      <c r="I20" s="93"/>
      <c r="J20" s="93"/>
      <c r="K20" s="19"/>
      <c r="M20" s="23" t="str">
        <f t="shared" si="0"/>
        <v xml:space="preserve">             --14</v>
      </c>
      <c r="V20" s="23" t="str">
        <f t="shared" si="1"/>
        <v xml:space="preserve">      --14</v>
      </c>
    </row>
    <row r="21" spans="1:22">
      <c r="A21" s="59">
        <v>15</v>
      </c>
      <c r="B21" s="91"/>
      <c r="C21" s="91"/>
      <c r="D21" s="33"/>
      <c r="E21" s="33"/>
      <c r="F21" s="33"/>
      <c r="G21" s="33"/>
      <c r="H21" s="33"/>
      <c r="I21" s="35"/>
      <c r="J21" s="35"/>
      <c r="K21" s="90"/>
      <c r="M21" s="23" t="str">
        <f t="shared" si="0"/>
        <v xml:space="preserve">             --15</v>
      </c>
      <c r="V21" s="23" t="str">
        <f t="shared" si="1"/>
        <v xml:space="preserve">      --15</v>
      </c>
    </row>
    <row r="22" spans="1:22">
      <c r="A22" s="59">
        <v>16</v>
      </c>
      <c r="B22" s="91"/>
      <c r="C22" s="91"/>
      <c r="D22" s="33"/>
      <c r="E22" s="33"/>
      <c r="F22" s="33"/>
      <c r="G22" s="33"/>
      <c r="H22" s="33"/>
      <c r="I22" s="35"/>
      <c r="J22" s="35"/>
      <c r="K22" s="90"/>
      <c r="M22" s="23" t="str">
        <f t="shared" si="0"/>
        <v xml:space="preserve">             --16</v>
      </c>
      <c r="V22" s="23" t="str">
        <f t="shared" si="1"/>
        <v xml:space="preserve">      --16</v>
      </c>
    </row>
    <row r="23" spans="1:22">
      <c r="A23" s="59">
        <v>17</v>
      </c>
      <c r="B23" s="91"/>
      <c r="C23" s="91"/>
      <c r="D23" s="33"/>
      <c r="E23" s="33"/>
      <c r="F23" s="33"/>
      <c r="G23" s="33"/>
      <c r="H23" s="33"/>
      <c r="I23" s="35"/>
      <c r="J23" s="35"/>
      <c r="K23" s="90"/>
      <c r="M23" s="23" t="str">
        <f t="shared" si="0"/>
        <v xml:space="preserve">             --17</v>
      </c>
      <c r="V23" s="23" t="str">
        <f t="shared" si="1"/>
        <v xml:space="preserve">      --17</v>
      </c>
    </row>
    <row r="24" spans="1:22">
      <c r="A24" s="59">
        <v>18</v>
      </c>
      <c r="B24" s="91"/>
      <c r="C24" s="91"/>
      <c r="D24" s="33"/>
      <c r="E24" s="33"/>
      <c r="F24" s="35"/>
      <c r="G24" s="33"/>
      <c r="H24" s="33"/>
      <c r="I24" s="35"/>
      <c r="J24" s="35"/>
      <c r="K24" s="90"/>
      <c r="M24" s="23" t="str">
        <f t="shared" si="0"/>
        <v xml:space="preserve">             --18</v>
      </c>
      <c r="V24" s="23" t="str">
        <f t="shared" si="1"/>
        <v xml:space="preserve">      --18</v>
      </c>
    </row>
    <row r="25" spans="1:22">
      <c r="A25" s="59">
        <v>19</v>
      </c>
      <c r="B25" s="91"/>
      <c r="C25" s="2"/>
      <c r="D25" s="38"/>
      <c r="E25" s="39"/>
      <c r="F25" s="33"/>
      <c r="G25" s="33"/>
      <c r="H25" s="33"/>
      <c r="I25" s="93"/>
      <c r="J25" s="93"/>
      <c r="K25" s="19"/>
      <c r="M25" s="23" t="str">
        <f t="shared" si="0"/>
        <v xml:space="preserve">             --19</v>
      </c>
      <c r="V25" s="23" t="str">
        <f t="shared" si="1"/>
        <v xml:space="preserve">      --19</v>
      </c>
    </row>
    <row r="26" spans="1:22">
      <c r="A26" s="59">
        <v>20</v>
      </c>
      <c r="B26" s="92"/>
      <c r="C26" s="92"/>
      <c r="D26" s="33"/>
      <c r="E26" s="33"/>
      <c r="F26" s="33"/>
      <c r="G26" s="33"/>
      <c r="H26" s="33"/>
      <c r="I26" s="93"/>
      <c r="J26" s="93"/>
      <c r="K26" s="19"/>
      <c r="M26" s="23" t="str">
        <f t="shared" si="0"/>
        <v xml:space="preserve">             --20</v>
      </c>
      <c r="V26" s="23" t="str">
        <f t="shared" si="1"/>
        <v xml:space="preserve">      --20</v>
      </c>
    </row>
    <row r="27" spans="1:22">
      <c r="A27" s="59">
        <v>21</v>
      </c>
      <c r="B27" s="91"/>
      <c r="C27" s="91"/>
      <c r="D27" s="33"/>
      <c r="E27" s="33"/>
      <c r="F27" s="33"/>
      <c r="G27" s="33"/>
      <c r="H27" s="33"/>
      <c r="I27" s="35"/>
      <c r="J27" s="35"/>
      <c r="K27" s="90"/>
      <c r="M27" s="23" t="str">
        <f t="shared" si="0"/>
        <v xml:space="preserve">             --21</v>
      </c>
      <c r="V27" s="23" t="str">
        <f t="shared" si="1"/>
        <v xml:space="preserve">      --21</v>
      </c>
    </row>
    <row r="28" spans="1:22">
      <c r="A28" s="59">
        <v>22</v>
      </c>
      <c r="B28" s="91"/>
      <c r="C28" s="91"/>
      <c r="D28" s="33"/>
      <c r="E28" s="33"/>
      <c r="F28" s="33"/>
      <c r="G28" s="33"/>
      <c r="H28" s="33"/>
      <c r="I28" s="35"/>
      <c r="J28" s="35"/>
      <c r="K28" s="90"/>
      <c r="M28" s="23" t="str">
        <f t="shared" si="0"/>
        <v xml:space="preserve">             --22</v>
      </c>
      <c r="V28" s="23" t="str">
        <f t="shared" si="1"/>
        <v xml:space="preserve">      --22</v>
      </c>
    </row>
    <row r="29" spans="1:22">
      <c r="A29" s="59">
        <v>23</v>
      </c>
      <c r="B29" s="91"/>
      <c r="C29" s="91"/>
      <c r="D29" s="33"/>
      <c r="E29" s="33"/>
      <c r="F29" s="33"/>
      <c r="G29" s="33"/>
      <c r="H29" s="33"/>
      <c r="I29" s="35"/>
      <c r="J29" s="35"/>
      <c r="K29" s="90"/>
      <c r="M29" s="23" t="str">
        <f t="shared" si="0"/>
        <v xml:space="preserve">             --23</v>
      </c>
      <c r="V29" s="23" t="str">
        <f t="shared" si="1"/>
        <v xml:space="preserve">      --23</v>
      </c>
    </row>
    <row r="30" spans="1:22">
      <c r="A30" s="59">
        <v>24</v>
      </c>
      <c r="B30" s="91"/>
      <c r="C30" s="91"/>
      <c r="D30" s="33"/>
      <c r="E30" s="33"/>
      <c r="F30" s="35"/>
      <c r="G30" s="33"/>
      <c r="H30" s="33"/>
      <c r="I30" s="35"/>
      <c r="J30" s="35"/>
      <c r="K30" s="90"/>
      <c r="M30" s="23" t="str">
        <f t="shared" si="0"/>
        <v xml:space="preserve">             --24</v>
      </c>
      <c r="V30" s="23" t="str">
        <f t="shared" si="1"/>
        <v xml:space="preserve">      --24</v>
      </c>
    </row>
    <row r="31" spans="1:22">
      <c r="A31" s="59">
        <v>25</v>
      </c>
      <c r="B31" s="91"/>
      <c r="C31" s="91"/>
      <c r="D31" s="33"/>
      <c r="E31" s="33"/>
      <c r="F31" s="33"/>
      <c r="G31" s="33"/>
      <c r="H31" s="33"/>
      <c r="I31" s="35"/>
      <c r="J31" s="35"/>
      <c r="K31" s="90"/>
      <c r="M31" s="23" t="str">
        <f t="shared" si="0"/>
        <v xml:space="preserve">             --25</v>
      </c>
      <c r="V31" s="23" t="str">
        <f t="shared" si="1"/>
        <v xml:space="preserve">      --25</v>
      </c>
    </row>
    <row r="32" spans="1:22">
      <c r="A32" s="59">
        <v>26</v>
      </c>
      <c r="B32" s="91"/>
      <c r="C32" s="2"/>
      <c r="D32" s="38"/>
      <c r="E32" s="39"/>
      <c r="F32" s="33"/>
      <c r="G32" s="33"/>
      <c r="H32" s="33"/>
      <c r="I32" s="93"/>
      <c r="J32" s="93"/>
      <c r="K32" s="19"/>
      <c r="M32" s="23" t="str">
        <f t="shared" si="0"/>
        <v xml:space="preserve">             --26</v>
      </c>
      <c r="V32" s="23" t="str">
        <f t="shared" si="1"/>
        <v xml:space="preserve">      --26</v>
      </c>
    </row>
    <row r="33" spans="1:22">
      <c r="A33" s="59">
        <v>27</v>
      </c>
      <c r="B33" s="92"/>
      <c r="C33" s="92"/>
      <c r="D33" s="33"/>
      <c r="E33" s="33"/>
      <c r="F33" s="33"/>
      <c r="G33" s="33"/>
      <c r="H33" s="33"/>
      <c r="I33" s="93"/>
      <c r="J33" s="93"/>
      <c r="K33" s="19"/>
      <c r="M33" s="23" t="str">
        <f t="shared" si="0"/>
        <v xml:space="preserve">             --27</v>
      </c>
      <c r="V33" s="23" t="str">
        <f t="shared" si="1"/>
        <v xml:space="preserve">      --27</v>
      </c>
    </row>
    <row r="34" spans="1:22">
      <c r="A34" s="59">
        <v>28</v>
      </c>
      <c r="B34" s="91"/>
      <c r="C34" s="91"/>
      <c r="D34" s="33"/>
      <c r="E34" s="33"/>
      <c r="F34" s="33"/>
      <c r="G34" s="33"/>
      <c r="H34" s="33"/>
      <c r="I34" s="35"/>
      <c r="J34" s="35"/>
      <c r="K34" s="90"/>
      <c r="M34" s="23" t="str">
        <f t="shared" si="0"/>
        <v xml:space="preserve">             --28</v>
      </c>
      <c r="V34" s="23" t="str">
        <f t="shared" si="1"/>
        <v xml:space="preserve">      --28</v>
      </c>
    </row>
    <row r="35" spans="1:22">
      <c r="A35" s="59">
        <v>29</v>
      </c>
      <c r="B35" s="91"/>
      <c r="C35" s="91"/>
      <c r="D35" s="33"/>
      <c r="E35" s="33"/>
      <c r="F35" s="33"/>
      <c r="G35" s="33"/>
      <c r="H35" s="33"/>
      <c r="I35" s="35"/>
      <c r="J35" s="35"/>
      <c r="K35" s="90"/>
      <c r="M35" s="23" t="str">
        <f t="shared" si="0"/>
        <v xml:space="preserve">             --29</v>
      </c>
      <c r="V35" s="23" t="str">
        <f t="shared" si="1"/>
        <v xml:space="preserve">      --29</v>
      </c>
    </row>
    <row r="36" spans="1:22">
      <c r="A36" s="59">
        <v>30</v>
      </c>
      <c r="B36" s="91"/>
      <c r="C36" s="91"/>
      <c r="D36" s="33"/>
      <c r="E36" s="33"/>
      <c r="F36" s="33"/>
      <c r="G36" s="33"/>
      <c r="H36" s="33"/>
      <c r="I36" s="35"/>
      <c r="J36" s="35"/>
      <c r="K36" s="90"/>
      <c r="M36" s="23" t="str">
        <f t="shared" si="0"/>
        <v xml:space="preserve">             --30</v>
      </c>
      <c r="V36" s="23" t="str">
        <f t="shared" si="1"/>
        <v xml:space="preserve">      --30</v>
      </c>
    </row>
    <row r="37" spans="1:22">
      <c r="A37" s="59">
        <v>31</v>
      </c>
      <c r="B37" s="91"/>
      <c r="C37" s="91"/>
      <c r="D37" s="33"/>
      <c r="E37" s="33"/>
      <c r="F37" s="35"/>
      <c r="G37" s="33"/>
      <c r="H37" s="33"/>
      <c r="I37" s="35"/>
      <c r="J37" s="35"/>
      <c r="K37" s="90"/>
      <c r="M37" s="23" t="str">
        <f t="shared" si="0"/>
        <v xml:space="preserve">             --31</v>
      </c>
      <c r="V37" s="23" t="str">
        <f t="shared" si="1"/>
        <v xml:space="preserve">      --31</v>
      </c>
    </row>
    <row r="38" spans="1:22">
      <c r="A38" s="59">
        <v>32</v>
      </c>
      <c r="B38" s="91"/>
      <c r="C38" s="91"/>
      <c r="D38" s="33"/>
      <c r="E38" s="33"/>
      <c r="F38" s="33"/>
      <c r="G38" s="33"/>
      <c r="H38" s="33"/>
      <c r="I38" s="35"/>
      <c r="J38" s="35"/>
      <c r="K38" s="90"/>
      <c r="M38" s="23" t="str">
        <f t="shared" si="0"/>
        <v xml:space="preserve">             --32</v>
      </c>
      <c r="V38" s="23" t="str">
        <f t="shared" si="1"/>
        <v xml:space="preserve">      --32</v>
      </c>
    </row>
    <row r="39" spans="1:22">
      <c r="A39" s="59">
        <v>33</v>
      </c>
      <c r="B39" s="91"/>
      <c r="C39" s="2"/>
      <c r="D39" s="38"/>
      <c r="E39" s="39"/>
      <c r="F39" s="33"/>
      <c r="G39" s="33"/>
      <c r="H39" s="33"/>
      <c r="I39" s="93"/>
      <c r="J39" s="93"/>
      <c r="K39" s="19"/>
      <c r="M39" s="23" t="str">
        <f t="shared" si="0"/>
        <v xml:space="preserve">             --33</v>
      </c>
      <c r="V39" s="23" t="str">
        <f t="shared" si="1"/>
        <v xml:space="preserve">      --33</v>
      </c>
    </row>
    <row r="40" spans="1:22">
      <c r="A40" s="59">
        <v>34</v>
      </c>
      <c r="B40" s="92"/>
      <c r="C40" s="92"/>
      <c r="D40" s="33"/>
      <c r="E40" s="33"/>
      <c r="F40" s="33"/>
      <c r="G40" s="33"/>
      <c r="H40" s="33"/>
      <c r="I40" s="93"/>
      <c r="J40" s="93"/>
      <c r="K40" s="19"/>
      <c r="M40" s="23" t="str">
        <f t="shared" si="0"/>
        <v xml:space="preserve">             --34</v>
      </c>
      <c r="V40" s="23" t="str">
        <f t="shared" si="1"/>
        <v xml:space="preserve">      --34</v>
      </c>
    </row>
    <row r="41" spans="1:22">
      <c r="A41" s="59">
        <v>35</v>
      </c>
      <c r="B41" s="91"/>
      <c r="C41" s="91"/>
      <c r="D41" s="33"/>
      <c r="E41" s="33"/>
      <c r="F41" s="33"/>
      <c r="G41" s="33"/>
      <c r="H41" s="33"/>
      <c r="I41" s="35"/>
      <c r="J41" s="35"/>
      <c r="K41" s="90"/>
      <c r="M41" s="23" t="str">
        <f t="shared" si="0"/>
        <v xml:space="preserve">             --35</v>
      </c>
      <c r="V41" s="23" t="str">
        <f t="shared" si="1"/>
        <v xml:space="preserve">      --35</v>
      </c>
    </row>
    <row r="42" spans="1:22">
      <c r="A42" s="59">
        <v>36</v>
      </c>
      <c r="B42" s="91"/>
      <c r="C42" s="91"/>
      <c r="D42" s="33"/>
      <c r="E42" s="33"/>
      <c r="F42" s="33"/>
      <c r="G42" s="33"/>
      <c r="H42" s="33"/>
      <c r="I42" s="35"/>
      <c r="J42" s="35"/>
      <c r="K42" s="90"/>
      <c r="M42" s="23" t="str">
        <f t="shared" si="0"/>
        <v xml:space="preserve">             --36</v>
      </c>
      <c r="V42" s="23" t="str">
        <f t="shared" si="1"/>
        <v xml:space="preserve">      --36</v>
      </c>
    </row>
    <row r="43" spans="1:22">
      <c r="A43" s="59">
        <v>37</v>
      </c>
      <c r="B43" s="91"/>
      <c r="C43" s="91"/>
      <c r="D43" s="17"/>
      <c r="E43" s="33"/>
      <c r="F43" s="35"/>
      <c r="G43" s="33"/>
      <c r="H43" s="33"/>
      <c r="I43" s="35"/>
      <c r="J43" s="35"/>
      <c r="K43" s="90"/>
      <c r="M43" s="23" t="str">
        <f t="shared" si="0"/>
        <v xml:space="preserve">             --37</v>
      </c>
      <c r="V43" s="23" t="str">
        <f t="shared" si="1"/>
        <v xml:space="preserve">      --37</v>
      </c>
    </row>
    <row r="44" spans="1:22">
      <c r="A44" s="59">
        <v>38</v>
      </c>
      <c r="B44" s="91"/>
      <c r="C44" s="91"/>
      <c r="D44" s="33"/>
      <c r="E44" s="33"/>
      <c r="F44" s="33"/>
      <c r="G44" s="33"/>
      <c r="H44" s="33"/>
      <c r="I44" s="35"/>
      <c r="J44" s="35"/>
      <c r="K44" s="90"/>
      <c r="M44" s="23" t="str">
        <f t="shared" si="0"/>
        <v xml:space="preserve">             --38</v>
      </c>
      <c r="V44" s="23" t="str">
        <f t="shared" si="1"/>
        <v xml:space="preserve">      --38</v>
      </c>
    </row>
    <row r="45" spans="1:22">
      <c r="A45" s="59">
        <v>39</v>
      </c>
      <c r="B45" s="91"/>
      <c r="C45" s="91"/>
      <c r="D45" s="33"/>
      <c r="E45" s="33"/>
      <c r="F45" s="33"/>
      <c r="G45" s="33"/>
      <c r="H45" s="33"/>
      <c r="I45" s="35"/>
      <c r="J45" s="35"/>
      <c r="K45" s="90"/>
      <c r="M45" s="23" t="str">
        <f t="shared" si="0"/>
        <v xml:space="preserve">             --39</v>
      </c>
      <c r="V45" s="23" t="str">
        <f t="shared" si="1"/>
        <v xml:space="preserve">      --39</v>
      </c>
    </row>
    <row r="46" spans="1:22">
      <c r="A46" s="59">
        <v>40</v>
      </c>
      <c r="B46" s="92"/>
      <c r="C46" s="92"/>
      <c r="D46" s="33"/>
      <c r="E46" s="33"/>
      <c r="F46" s="33"/>
      <c r="G46" s="33"/>
      <c r="H46" s="33"/>
      <c r="I46" s="93"/>
      <c r="J46" s="93"/>
      <c r="K46" s="19"/>
      <c r="M46" s="23" t="str">
        <f t="shared" si="0"/>
        <v xml:space="preserve">             --40</v>
      </c>
      <c r="V46" s="23" t="str">
        <f t="shared" si="1"/>
        <v xml:space="preserve">      --40</v>
      </c>
    </row>
    <row r="47" spans="1:22">
      <c r="A47" s="59">
        <v>41</v>
      </c>
      <c r="B47" s="91"/>
      <c r="C47" s="91"/>
      <c r="D47" s="33"/>
      <c r="E47" s="33"/>
      <c r="F47" s="33"/>
      <c r="G47" s="33"/>
      <c r="H47" s="33"/>
      <c r="I47" s="35"/>
      <c r="J47" s="35"/>
      <c r="K47" s="90"/>
      <c r="M47" s="23" t="str">
        <f t="shared" si="0"/>
        <v xml:space="preserve">             --41</v>
      </c>
      <c r="V47" s="23" t="str">
        <f t="shared" si="1"/>
        <v xml:space="preserve">      --41</v>
      </c>
    </row>
    <row r="48" spans="1:22">
      <c r="A48" s="59">
        <v>42</v>
      </c>
      <c r="B48" s="91"/>
      <c r="C48" s="2"/>
      <c r="D48" s="38"/>
      <c r="E48" s="39"/>
      <c r="F48" s="33"/>
      <c r="G48" s="33"/>
      <c r="H48" s="33"/>
      <c r="I48" s="93"/>
      <c r="J48" s="93"/>
      <c r="K48" s="19"/>
      <c r="M48" s="23" t="str">
        <f t="shared" si="0"/>
        <v xml:space="preserve">             --42</v>
      </c>
      <c r="V48" s="23" t="str">
        <f t="shared" si="1"/>
        <v xml:space="preserve">      --42</v>
      </c>
    </row>
    <row r="49" spans="1:22">
      <c r="A49" s="59">
        <v>43</v>
      </c>
      <c r="B49" s="92"/>
      <c r="C49" s="92"/>
      <c r="D49" s="33"/>
      <c r="E49" s="33"/>
      <c r="F49" s="33"/>
      <c r="G49" s="33"/>
      <c r="H49" s="33"/>
      <c r="I49" s="93"/>
      <c r="J49" s="93"/>
      <c r="K49" s="19"/>
      <c r="M49" s="23" t="str">
        <f t="shared" si="0"/>
        <v xml:space="preserve">             --43</v>
      </c>
      <c r="V49" s="23" t="str">
        <f t="shared" si="1"/>
        <v xml:space="preserve">      --43</v>
      </c>
    </row>
    <row r="50" spans="1:22">
      <c r="A50" s="59">
        <v>44</v>
      </c>
      <c r="B50" s="91"/>
      <c r="C50" s="91"/>
      <c r="D50" s="33"/>
      <c r="E50" s="33"/>
      <c r="F50" s="33"/>
      <c r="G50" s="33"/>
      <c r="H50" s="33"/>
      <c r="I50" s="35"/>
      <c r="J50" s="35"/>
      <c r="K50" s="90"/>
      <c r="M50" s="23" t="str">
        <f t="shared" si="0"/>
        <v xml:space="preserve">             --44</v>
      </c>
      <c r="V50" s="23" t="str">
        <f t="shared" si="1"/>
        <v xml:space="preserve">      --44</v>
      </c>
    </row>
    <row r="51" spans="1:22">
      <c r="A51" s="59">
        <v>45</v>
      </c>
      <c r="B51" s="91"/>
      <c r="C51" s="91"/>
      <c r="D51" s="33"/>
      <c r="E51" s="33"/>
      <c r="F51" s="33"/>
      <c r="G51" s="33"/>
      <c r="H51" s="33"/>
      <c r="I51" s="35"/>
      <c r="J51" s="35"/>
      <c r="K51" s="90"/>
      <c r="M51" s="23" t="str">
        <f t="shared" si="0"/>
        <v xml:space="preserve">             --45</v>
      </c>
      <c r="V51" s="23" t="str">
        <f t="shared" si="1"/>
        <v xml:space="preserve">      --45</v>
      </c>
    </row>
    <row r="52" spans="1:22">
      <c r="A52" s="59">
        <v>46</v>
      </c>
      <c r="B52" s="91"/>
      <c r="C52" s="91"/>
      <c r="D52" s="17"/>
      <c r="E52" s="33"/>
      <c r="F52" s="35"/>
      <c r="G52" s="33"/>
      <c r="H52" s="33"/>
      <c r="I52" s="35"/>
      <c r="J52" s="35"/>
      <c r="K52" s="90"/>
      <c r="M52" s="23" t="str">
        <f t="shared" si="0"/>
        <v xml:space="preserve">             --46</v>
      </c>
      <c r="V52" s="23" t="str">
        <f t="shared" si="1"/>
        <v xml:space="preserve">      --46</v>
      </c>
    </row>
    <row r="53" spans="1:22">
      <c r="A53" s="59">
        <v>47</v>
      </c>
      <c r="B53" s="91"/>
      <c r="C53" s="91"/>
      <c r="D53" s="33"/>
      <c r="E53" s="33"/>
      <c r="F53" s="33"/>
      <c r="G53" s="33"/>
      <c r="H53" s="33"/>
      <c r="I53" s="35"/>
      <c r="J53" s="35"/>
      <c r="K53" s="90"/>
      <c r="M53" s="23" t="str">
        <f t="shared" si="0"/>
        <v xml:space="preserve">             --47</v>
      </c>
      <c r="V53" s="23" t="str">
        <f t="shared" si="1"/>
        <v xml:space="preserve">      --47</v>
      </c>
    </row>
    <row r="54" spans="1:22">
      <c r="A54" s="59">
        <v>48</v>
      </c>
      <c r="B54" s="91"/>
      <c r="C54" s="91"/>
      <c r="D54" s="33"/>
      <c r="E54" s="33"/>
      <c r="F54" s="33"/>
      <c r="G54" s="33"/>
      <c r="H54" s="33"/>
      <c r="I54" s="35"/>
      <c r="J54" s="35"/>
      <c r="K54" s="90"/>
      <c r="M54" s="23" t="str">
        <f t="shared" si="0"/>
        <v xml:space="preserve">             --48</v>
      </c>
      <c r="V54" s="23" t="str">
        <f t="shared" si="1"/>
        <v xml:space="preserve">      --48</v>
      </c>
    </row>
    <row r="55" spans="1:22">
      <c r="A55" s="59">
        <v>49</v>
      </c>
      <c r="B55" s="92"/>
      <c r="C55" s="92"/>
      <c r="D55" s="33"/>
      <c r="E55" s="33"/>
      <c r="F55" s="33"/>
      <c r="G55" s="33"/>
      <c r="H55" s="33"/>
      <c r="I55" s="93"/>
      <c r="J55" s="93"/>
      <c r="K55" s="19"/>
      <c r="M55" s="23" t="str">
        <f t="shared" si="0"/>
        <v xml:space="preserve">             --49</v>
      </c>
      <c r="V55" s="23" t="str">
        <f t="shared" si="1"/>
        <v xml:space="preserve">      --49</v>
      </c>
    </row>
    <row r="56" spans="1:22">
      <c r="A56" s="59">
        <v>50</v>
      </c>
      <c r="B56" s="92"/>
      <c r="C56" s="92"/>
      <c r="D56" s="33"/>
      <c r="E56" s="33"/>
      <c r="F56" s="33"/>
      <c r="G56" s="33"/>
      <c r="H56" s="33"/>
      <c r="I56" s="93"/>
      <c r="J56" s="93"/>
      <c r="K56" s="19"/>
      <c r="M56" s="23" t="str">
        <f t="shared" si="0"/>
        <v xml:space="preserve">             --50</v>
      </c>
      <c r="V56" s="23" t="str">
        <f t="shared" si="1"/>
        <v xml:space="preserve">      --50</v>
      </c>
    </row>
    <row r="57" spans="1:22">
      <c r="A57" s="59">
        <v>51</v>
      </c>
      <c r="B57" s="92"/>
      <c r="C57" s="92"/>
      <c r="D57" s="33"/>
      <c r="E57" s="33"/>
      <c r="F57" s="33"/>
      <c r="G57" s="33"/>
      <c r="H57" s="33"/>
      <c r="I57" s="93"/>
      <c r="J57" s="93"/>
      <c r="K57" s="19"/>
      <c r="M57" s="23" t="str">
        <f t="shared" si="0"/>
        <v xml:space="preserve">             --51</v>
      </c>
      <c r="V57" s="23" t="str">
        <f t="shared" si="1"/>
        <v xml:space="preserve">      --51</v>
      </c>
    </row>
    <row r="58" spans="1:22">
      <c r="A58" s="59">
        <v>52</v>
      </c>
      <c r="B58" s="92"/>
      <c r="C58" s="92"/>
      <c r="D58" s="33"/>
      <c r="E58" s="33"/>
      <c r="F58" s="33"/>
      <c r="G58" s="33"/>
      <c r="H58" s="33"/>
      <c r="I58" s="93"/>
      <c r="J58" s="93"/>
      <c r="K58" s="19"/>
      <c r="M58" s="23" t="str">
        <f t="shared" si="0"/>
        <v xml:space="preserve">             --52</v>
      </c>
      <c r="V58" s="23" t="str">
        <f t="shared" si="1"/>
        <v xml:space="preserve">      --52</v>
      </c>
    </row>
    <row r="59" spans="1:22">
      <c r="A59" s="59">
        <v>53</v>
      </c>
      <c r="B59" s="92"/>
      <c r="C59" s="92"/>
      <c r="D59" s="33"/>
      <c r="E59" s="33"/>
      <c r="F59" s="33"/>
      <c r="G59" s="33"/>
      <c r="H59" s="33"/>
      <c r="I59" s="93"/>
      <c r="J59" s="93"/>
      <c r="K59" s="19"/>
      <c r="M59" s="23" t="str">
        <f t="shared" si="0"/>
        <v xml:space="preserve">             --53</v>
      </c>
      <c r="V59" s="23" t="str">
        <f t="shared" si="1"/>
        <v xml:space="preserve">      --53</v>
      </c>
    </row>
    <row r="60" spans="1:22">
      <c r="A60" s="59">
        <v>54</v>
      </c>
      <c r="B60" s="92"/>
      <c r="C60" s="92"/>
      <c r="D60" s="33"/>
      <c r="E60" s="33"/>
      <c r="F60" s="33"/>
      <c r="G60" s="33"/>
      <c r="H60" s="33"/>
      <c r="I60" s="93"/>
      <c r="J60" s="93"/>
      <c r="K60" s="19"/>
      <c r="M60" s="23" t="str">
        <f t="shared" si="0"/>
        <v xml:space="preserve">             --54</v>
      </c>
      <c r="V60" s="23" t="str">
        <f t="shared" si="1"/>
        <v xml:space="preserve">      --54</v>
      </c>
    </row>
    <row r="61" spans="1:22">
      <c r="A61" s="59">
        <v>55</v>
      </c>
      <c r="B61" s="92"/>
      <c r="C61" s="92"/>
      <c r="D61" s="33"/>
      <c r="E61" s="33"/>
      <c r="F61" s="33"/>
      <c r="G61" s="33"/>
      <c r="H61" s="33"/>
      <c r="I61" s="93"/>
      <c r="J61" s="93"/>
      <c r="K61" s="19"/>
      <c r="M61" s="23" t="str">
        <f t="shared" si="0"/>
        <v xml:space="preserve">             --55</v>
      </c>
      <c r="V61" s="23" t="str">
        <f t="shared" si="1"/>
        <v xml:space="preserve">      --55</v>
      </c>
    </row>
    <row r="62" spans="1:22">
      <c r="A62" s="59">
        <v>56</v>
      </c>
      <c r="B62" s="92"/>
      <c r="C62" s="92"/>
      <c r="D62" s="33"/>
      <c r="E62" s="33"/>
      <c r="F62" s="33"/>
      <c r="G62" s="33"/>
      <c r="H62" s="33"/>
      <c r="I62" s="93"/>
      <c r="J62" s="93"/>
      <c r="K62" s="19"/>
      <c r="M62" s="23" t="str">
        <f t="shared" si="0"/>
        <v xml:space="preserve">             --56</v>
      </c>
      <c r="V62" s="23" t="str">
        <f t="shared" si="1"/>
        <v xml:space="preserve">      --56</v>
      </c>
    </row>
    <row r="63" spans="1:22">
      <c r="A63" s="59">
        <v>57</v>
      </c>
      <c r="B63" s="92"/>
      <c r="C63" s="92"/>
      <c r="D63" s="33"/>
      <c r="E63" s="33"/>
      <c r="F63" s="33"/>
      <c r="G63" s="33"/>
      <c r="H63" s="33"/>
      <c r="I63" s="93"/>
      <c r="J63" s="93"/>
      <c r="K63" s="19"/>
      <c r="M63" s="23" t="str">
        <f t="shared" si="0"/>
        <v xml:space="preserve">             --57</v>
      </c>
      <c r="V63" s="23" t="str">
        <f t="shared" si="1"/>
        <v xml:space="preserve">      --57</v>
      </c>
    </row>
    <row r="64" spans="1:22">
      <c r="A64" s="59">
        <v>58</v>
      </c>
      <c r="B64" s="92"/>
      <c r="C64" s="92"/>
      <c r="D64" s="33"/>
      <c r="E64" s="33"/>
      <c r="F64" s="33"/>
      <c r="G64" s="33"/>
      <c r="H64" s="33"/>
      <c r="I64" s="93"/>
      <c r="J64" s="93"/>
      <c r="K64" s="19"/>
      <c r="M64" s="23" t="str">
        <f t="shared" si="0"/>
        <v xml:space="preserve">             --58</v>
      </c>
      <c r="V64" s="23" t="str">
        <f t="shared" si="1"/>
        <v xml:space="preserve">      --58</v>
      </c>
    </row>
    <row r="65" spans="1:22">
      <c r="A65" s="59">
        <v>59</v>
      </c>
      <c r="B65" s="92"/>
      <c r="C65" s="92"/>
      <c r="D65" s="33"/>
      <c r="E65" s="33"/>
      <c r="F65" s="33"/>
      <c r="G65" s="33"/>
      <c r="H65" s="33"/>
      <c r="I65" s="93"/>
      <c r="J65" s="93"/>
      <c r="K65" s="19"/>
      <c r="M65" s="23" t="str">
        <f t="shared" si="0"/>
        <v xml:space="preserve">             --59</v>
      </c>
      <c r="V65" s="23" t="str">
        <f t="shared" si="1"/>
        <v xml:space="preserve">      --59</v>
      </c>
    </row>
    <row r="66" spans="1:22">
      <c r="A66" s="59">
        <v>60</v>
      </c>
      <c r="B66" s="93"/>
      <c r="C66" s="92"/>
      <c r="D66" s="33"/>
      <c r="E66" s="33"/>
      <c r="F66" s="33"/>
      <c r="G66" s="33"/>
      <c r="H66" s="33"/>
      <c r="I66" s="93"/>
      <c r="J66" s="93"/>
      <c r="K66" s="19"/>
      <c r="M66" s="23" t="str">
        <f t="shared" si="0"/>
        <v xml:space="preserve">             --60</v>
      </c>
      <c r="V66" s="23" t="str">
        <f t="shared" si="1"/>
        <v xml:space="preserve">      --60</v>
      </c>
    </row>
    <row r="67" spans="1:22">
      <c r="A67" s="59">
        <v>61</v>
      </c>
      <c r="B67" s="93"/>
      <c r="C67" s="92"/>
      <c r="D67" s="33"/>
      <c r="E67" s="33"/>
      <c r="F67" s="33"/>
      <c r="G67" s="33"/>
      <c r="H67" s="33"/>
      <c r="I67" s="93"/>
      <c r="J67" s="93"/>
      <c r="K67" s="19"/>
      <c r="M67" s="23" t="str">
        <f t="shared" si="0"/>
        <v xml:space="preserve">             --61</v>
      </c>
      <c r="V67" s="23" t="str">
        <f t="shared" si="1"/>
        <v xml:space="preserve">      --61</v>
      </c>
    </row>
    <row r="68" spans="1:22">
      <c r="A68" s="59">
        <v>62</v>
      </c>
      <c r="B68" s="93"/>
      <c r="C68" s="92"/>
      <c r="D68" s="33"/>
      <c r="E68" s="33"/>
      <c r="F68" s="33"/>
      <c r="G68" s="33"/>
      <c r="H68" s="33"/>
      <c r="I68" s="93"/>
      <c r="J68" s="93"/>
      <c r="K68" s="19"/>
      <c r="M68" s="23" t="str">
        <f t="shared" si="0"/>
        <v xml:space="preserve">             --62</v>
      </c>
      <c r="V68" s="23" t="str">
        <f t="shared" si="1"/>
        <v xml:space="preserve">      --62</v>
      </c>
    </row>
    <row r="69" spans="1:22">
      <c r="A69" s="59">
        <v>63</v>
      </c>
      <c r="B69" s="93"/>
      <c r="C69" s="92"/>
      <c r="D69" s="33"/>
      <c r="E69" s="33"/>
      <c r="F69" s="33"/>
      <c r="G69" s="33"/>
      <c r="H69" s="33"/>
      <c r="I69" s="93"/>
      <c r="J69" s="93"/>
      <c r="K69" s="19"/>
      <c r="M69" s="23" t="str">
        <f t="shared" si="0"/>
        <v xml:space="preserve">             --63</v>
      </c>
      <c r="V69" s="23" t="str">
        <f t="shared" si="1"/>
        <v xml:space="preserve">      --63</v>
      </c>
    </row>
    <row r="70" spans="1:22">
      <c r="A70" s="59">
        <v>64</v>
      </c>
      <c r="B70" s="93"/>
      <c r="C70" s="92"/>
      <c r="D70" s="33"/>
      <c r="E70" s="33"/>
      <c r="F70" s="33"/>
      <c r="G70" s="33"/>
      <c r="H70" s="33"/>
      <c r="I70" s="93"/>
      <c r="J70" s="93"/>
      <c r="K70" s="19"/>
      <c r="M70" s="23" t="str">
        <f t="shared" si="0"/>
        <v xml:space="preserve">             --64</v>
      </c>
      <c r="V70" s="23" t="str">
        <f t="shared" si="1"/>
        <v xml:space="preserve">      --64</v>
      </c>
    </row>
    <row r="71" spans="1:22">
      <c r="A71" s="59">
        <v>65</v>
      </c>
      <c r="B71" s="93"/>
      <c r="C71" s="92"/>
      <c r="D71" s="33"/>
      <c r="E71" s="33"/>
      <c r="F71" s="33"/>
      <c r="G71" s="33"/>
      <c r="H71" s="33"/>
      <c r="I71" s="93"/>
      <c r="J71" s="93"/>
      <c r="K71" s="19"/>
      <c r="M71" s="23" t="str">
        <f t="shared" si="0"/>
        <v xml:space="preserve">             --65</v>
      </c>
      <c r="V71" s="23" t="str">
        <f t="shared" si="1"/>
        <v xml:space="preserve">      --65</v>
      </c>
    </row>
    <row r="72" spans="1:22">
      <c r="A72" s="59">
        <v>66</v>
      </c>
      <c r="B72" s="93"/>
      <c r="C72" s="92"/>
      <c r="D72" s="33"/>
      <c r="E72" s="33"/>
      <c r="F72" s="33"/>
      <c r="G72" s="33"/>
      <c r="H72" s="33"/>
      <c r="I72" s="93"/>
      <c r="J72" s="93"/>
      <c r="K72" s="19"/>
      <c r="M72" s="23" t="str">
        <f t="shared" ref="M72:M106" si="2">REPT(" ",13)&amp;IF(ISBLANK($B72),"--"&amp;$A72,
LEFT(SUBSTITUTE($B72," ","*")&amp;REPT(" ",30),30)&amp;
LEFT(IF(ISBLANK($D72),"",IF(OR(UPPER($D72)="DATE",UPPER($D72)="CLOB",UPPER($D72)="BLOB",UPPER($D72)="LONG",UPPER($D72)="TIMESTAMP"),UPPER($D72),IF(ISBLANK($E72),UPPER($D72),UPPER($D72)&amp;"("&amp;$E72&amp;")")))&amp;REPT(" ",15),15)&amp;
LEFT(IF(ISBLANK($F72),"","DEFAULT  "&amp;$F72)&amp;REPT(" ",19),19)&amp;
LEFT(IF(ISBLANK($J72),""," identity(" &amp; $J72 &amp; ") ")&amp;REPT(" ",17),17)&amp;
LEFT(IF(ISBLANK($H72),""," NOT NULL")&amp;REPT(" ",9),9)&amp;
IF(AND(ISBLANK(G$7),ISBLANK($B73)),"",","))</f>
        <v xml:space="preserve">             --66</v>
      </c>
      <c r="V72" s="23" t="str">
        <f t="shared" ref="V72:V106" si="3">REPT(" ",6)&amp;
IF(ISBLANK($B72),"--"&amp;UPPER($A72),LEFT(SUBSTITUTE(UPPER($B72)," ","*")&amp;REPT(" ",30),30)&amp;
LEFT("AS " &amp; LOWER(MID(SUBSTITUTE(PROPER($B72),"_",""),1,1))&amp;MID(SUBSTITUTE(PROPER($B72),"_",""),2,LEN(SUBSTITUTE(PROPER($B72),"_","")))&amp;REPT(" ",30),30)&amp;
LEFT(IF(ISBLANK($C72),"/**/","/* "&amp;$C72)&amp;" */"&amp;REPT(" ",30),30))</f>
        <v xml:space="preserve">      --66</v>
      </c>
    </row>
    <row r="73" spans="1:22">
      <c r="A73" s="59">
        <v>67</v>
      </c>
      <c r="B73" s="93"/>
      <c r="C73" s="92"/>
      <c r="D73" s="33"/>
      <c r="E73" s="33"/>
      <c r="F73" s="33"/>
      <c r="G73" s="33"/>
      <c r="H73" s="33"/>
      <c r="I73" s="93"/>
      <c r="J73" s="93"/>
      <c r="K73" s="19"/>
      <c r="M73" s="23" t="str">
        <f t="shared" si="2"/>
        <v xml:space="preserve">             --67</v>
      </c>
      <c r="V73" s="23" t="str">
        <f t="shared" si="3"/>
        <v xml:space="preserve">      --67</v>
      </c>
    </row>
    <row r="74" spans="1:22">
      <c r="A74" s="59">
        <v>68</v>
      </c>
      <c r="B74" s="93"/>
      <c r="C74" s="92"/>
      <c r="D74" s="33"/>
      <c r="E74" s="33"/>
      <c r="F74" s="33"/>
      <c r="G74" s="33"/>
      <c r="H74" s="33"/>
      <c r="I74" s="93"/>
      <c r="J74" s="93"/>
      <c r="K74" s="19"/>
      <c r="M74" s="23" t="str">
        <f t="shared" si="2"/>
        <v xml:space="preserve">             --68</v>
      </c>
      <c r="V74" s="23" t="str">
        <f t="shared" si="3"/>
        <v xml:space="preserve">      --68</v>
      </c>
    </row>
    <row r="75" spans="1:22">
      <c r="A75" s="59">
        <v>69</v>
      </c>
      <c r="B75" s="93"/>
      <c r="C75" s="92"/>
      <c r="D75" s="33"/>
      <c r="E75" s="33"/>
      <c r="F75" s="33"/>
      <c r="G75" s="33"/>
      <c r="H75" s="33"/>
      <c r="I75" s="93"/>
      <c r="J75" s="93"/>
      <c r="K75" s="19"/>
      <c r="M75" s="23" t="str">
        <f t="shared" si="2"/>
        <v xml:space="preserve">             --69</v>
      </c>
      <c r="V75" s="23" t="str">
        <f t="shared" si="3"/>
        <v xml:space="preserve">      --69</v>
      </c>
    </row>
    <row r="76" spans="1:22">
      <c r="A76" s="59">
        <v>70</v>
      </c>
      <c r="B76" s="93"/>
      <c r="C76" s="92"/>
      <c r="D76" s="33"/>
      <c r="E76" s="33"/>
      <c r="F76" s="33"/>
      <c r="G76" s="33"/>
      <c r="H76" s="33"/>
      <c r="I76" s="93"/>
      <c r="J76" s="93"/>
      <c r="K76" s="19"/>
      <c r="M76" s="23" t="str">
        <f t="shared" si="2"/>
        <v xml:space="preserve">             --70</v>
      </c>
      <c r="V76" s="23" t="str">
        <f t="shared" si="3"/>
        <v xml:space="preserve">      --70</v>
      </c>
    </row>
    <row r="77" spans="1:22">
      <c r="A77" s="59">
        <v>71</v>
      </c>
      <c r="B77" s="93"/>
      <c r="C77" s="92"/>
      <c r="D77" s="33"/>
      <c r="E77" s="33"/>
      <c r="F77" s="36"/>
      <c r="G77" s="33"/>
      <c r="H77" s="33"/>
      <c r="I77" s="93"/>
      <c r="J77" s="93"/>
      <c r="K77" s="19"/>
      <c r="M77" s="23" t="str">
        <f t="shared" si="2"/>
        <v xml:space="preserve">             --71</v>
      </c>
      <c r="V77" s="23" t="str">
        <f t="shared" si="3"/>
        <v xml:space="preserve">      --71</v>
      </c>
    </row>
    <row r="78" spans="1:22">
      <c r="A78" s="59">
        <v>72</v>
      </c>
      <c r="B78" s="93"/>
      <c r="C78" s="92"/>
      <c r="D78" s="33"/>
      <c r="E78" s="33"/>
      <c r="F78" s="33"/>
      <c r="G78" s="33"/>
      <c r="H78" s="33"/>
      <c r="I78" s="93"/>
      <c r="J78" s="93"/>
      <c r="K78" s="19"/>
      <c r="M78" s="23" t="str">
        <f t="shared" si="2"/>
        <v xml:space="preserve">             --72</v>
      </c>
      <c r="V78" s="23" t="str">
        <f t="shared" si="3"/>
        <v xml:space="preserve">      --72</v>
      </c>
    </row>
    <row r="79" spans="1:22">
      <c r="A79" s="59">
        <v>73</v>
      </c>
      <c r="B79" s="93"/>
      <c r="C79" s="92"/>
      <c r="D79" s="33"/>
      <c r="E79" s="33"/>
      <c r="F79" s="36"/>
      <c r="G79" s="33"/>
      <c r="H79" s="33"/>
      <c r="I79" s="93"/>
      <c r="J79" s="93"/>
      <c r="K79" s="19"/>
      <c r="M79" s="23" t="str">
        <f t="shared" si="2"/>
        <v xml:space="preserve">             --73</v>
      </c>
      <c r="V79" s="23" t="str">
        <f t="shared" si="3"/>
        <v xml:space="preserve">      --73</v>
      </c>
    </row>
    <row r="80" spans="1:22">
      <c r="A80" s="59">
        <v>74</v>
      </c>
      <c r="B80" s="93"/>
      <c r="C80" s="92"/>
      <c r="D80" s="33"/>
      <c r="E80" s="33"/>
      <c r="F80" s="33"/>
      <c r="G80" s="33"/>
      <c r="H80" s="33"/>
      <c r="I80" s="93"/>
      <c r="J80" s="93"/>
      <c r="K80" s="19"/>
      <c r="M80" s="23" t="str">
        <f t="shared" si="2"/>
        <v xml:space="preserve">             --74</v>
      </c>
      <c r="V80" s="23" t="str">
        <f t="shared" si="3"/>
        <v xml:space="preserve">      --74</v>
      </c>
    </row>
    <row r="81" spans="1:22">
      <c r="A81" s="59">
        <v>75</v>
      </c>
      <c r="B81" s="93"/>
      <c r="C81" s="92"/>
      <c r="D81" s="33"/>
      <c r="E81" s="33"/>
      <c r="F81" s="33"/>
      <c r="G81" s="33"/>
      <c r="H81" s="33"/>
      <c r="I81" s="93"/>
      <c r="J81" s="93"/>
      <c r="K81" s="19"/>
      <c r="M81" s="23" t="str">
        <f t="shared" si="2"/>
        <v xml:space="preserve">             --75</v>
      </c>
      <c r="V81" s="23" t="str">
        <f t="shared" si="3"/>
        <v xml:space="preserve">      --75</v>
      </c>
    </row>
    <row r="82" spans="1:22">
      <c r="A82" s="59">
        <v>76</v>
      </c>
      <c r="B82" s="93"/>
      <c r="C82" s="92"/>
      <c r="D82" s="33"/>
      <c r="E82" s="33"/>
      <c r="F82" s="33"/>
      <c r="G82" s="33"/>
      <c r="H82" s="33"/>
      <c r="I82" s="93"/>
      <c r="J82" s="93"/>
      <c r="K82" s="19"/>
      <c r="M82" s="23" t="str">
        <f t="shared" si="2"/>
        <v xml:space="preserve">             --76</v>
      </c>
      <c r="V82" s="23" t="str">
        <f t="shared" si="3"/>
        <v xml:space="preserve">      --76</v>
      </c>
    </row>
    <row r="83" spans="1:22">
      <c r="A83" s="59">
        <v>77</v>
      </c>
      <c r="B83" s="93"/>
      <c r="C83" s="92"/>
      <c r="D83" s="33"/>
      <c r="E83" s="33"/>
      <c r="F83" s="33"/>
      <c r="G83" s="33"/>
      <c r="H83" s="33"/>
      <c r="I83" s="93"/>
      <c r="J83" s="93"/>
      <c r="K83" s="19"/>
      <c r="M83" s="23" t="str">
        <f t="shared" si="2"/>
        <v xml:space="preserve">             --77</v>
      </c>
      <c r="V83" s="23" t="str">
        <f t="shared" si="3"/>
        <v xml:space="preserve">      --77</v>
      </c>
    </row>
    <row r="84" spans="1:22">
      <c r="A84" s="59">
        <v>78</v>
      </c>
      <c r="B84" s="93"/>
      <c r="C84" s="92"/>
      <c r="D84" s="33"/>
      <c r="E84" s="33"/>
      <c r="F84" s="33"/>
      <c r="G84" s="33"/>
      <c r="H84" s="33"/>
      <c r="I84" s="93"/>
      <c r="J84" s="93"/>
      <c r="K84" s="19"/>
      <c r="M84" s="23" t="str">
        <f t="shared" si="2"/>
        <v xml:space="preserve">             --78</v>
      </c>
      <c r="V84" s="23" t="str">
        <f t="shared" si="3"/>
        <v xml:space="preserve">      --78</v>
      </c>
    </row>
    <row r="85" spans="1:22">
      <c r="A85" s="59">
        <v>79</v>
      </c>
      <c r="B85" s="93"/>
      <c r="C85" s="92"/>
      <c r="D85" s="33"/>
      <c r="E85" s="33"/>
      <c r="F85" s="33"/>
      <c r="G85" s="33"/>
      <c r="H85" s="33"/>
      <c r="I85" s="93"/>
      <c r="J85" s="93"/>
      <c r="K85" s="19"/>
      <c r="M85" s="23" t="str">
        <f t="shared" si="2"/>
        <v xml:space="preserve">             --79</v>
      </c>
      <c r="V85" s="23" t="str">
        <f t="shared" si="3"/>
        <v xml:space="preserve">      --79</v>
      </c>
    </row>
    <row r="86" spans="1:22">
      <c r="A86" s="59">
        <v>80</v>
      </c>
      <c r="B86" s="93"/>
      <c r="C86" s="92"/>
      <c r="D86" s="33"/>
      <c r="E86" s="33"/>
      <c r="F86" s="33"/>
      <c r="G86" s="33"/>
      <c r="H86" s="33"/>
      <c r="I86" s="93"/>
      <c r="J86" s="93"/>
      <c r="K86" s="19"/>
      <c r="M86" s="23" t="str">
        <f t="shared" si="2"/>
        <v xml:space="preserve">             --80</v>
      </c>
      <c r="V86" s="23" t="str">
        <f t="shared" si="3"/>
        <v xml:space="preserve">      --80</v>
      </c>
    </row>
    <row r="87" spans="1:22">
      <c r="A87" s="59">
        <v>81</v>
      </c>
      <c r="B87" s="93"/>
      <c r="C87" s="92"/>
      <c r="D87" s="33"/>
      <c r="E87" s="33"/>
      <c r="F87" s="33"/>
      <c r="G87" s="33"/>
      <c r="H87" s="33"/>
      <c r="I87" s="93"/>
      <c r="J87" s="93"/>
      <c r="K87" s="19"/>
      <c r="M87" s="23" t="str">
        <f t="shared" si="2"/>
        <v xml:space="preserve">             --81</v>
      </c>
      <c r="V87" s="23" t="str">
        <f t="shared" si="3"/>
        <v xml:space="preserve">      --81</v>
      </c>
    </row>
    <row r="88" spans="1:22">
      <c r="A88" s="59">
        <v>82</v>
      </c>
      <c r="B88" s="93"/>
      <c r="C88" s="92"/>
      <c r="D88" s="33"/>
      <c r="E88" s="33"/>
      <c r="F88" s="33"/>
      <c r="G88" s="33"/>
      <c r="H88" s="33"/>
      <c r="I88" s="93"/>
      <c r="J88" s="93"/>
      <c r="K88" s="19"/>
      <c r="M88" s="23" t="str">
        <f t="shared" si="2"/>
        <v xml:space="preserve">             --82</v>
      </c>
      <c r="V88" s="23" t="str">
        <f t="shared" si="3"/>
        <v xml:space="preserve">      --82</v>
      </c>
    </row>
    <row r="89" spans="1:22">
      <c r="A89" s="59">
        <v>83</v>
      </c>
      <c r="B89" s="93"/>
      <c r="C89" s="92"/>
      <c r="D89" s="33"/>
      <c r="E89" s="33"/>
      <c r="F89" s="33"/>
      <c r="G89" s="33"/>
      <c r="H89" s="33"/>
      <c r="I89" s="93"/>
      <c r="J89" s="93"/>
      <c r="K89" s="19"/>
      <c r="M89" s="23" t="str">
        <f t="shared" si="2"/>
        <v xml:space="preserve">             --83</v>
      </c>
      <c r="V89" s="23" t="str">
        <f t="shared" si="3"/>
        <v xml:space="preserve">      --83</v>
      </c>
    </row>
    <row r="90" spans="1:22">
      <c r="A90" s="59">
        <v>84</v>
      </c>
      <c r="B90" s="93"/>
      <c r="C90" s="92"/>
      <c r="D90" s="33"/>
      <c r="E90" s="33"/>
      <c r="F90" s="33"/>
      <c r="G90" s="33"/>
      <c r="H90" s="33"/>
      <c r="I90" s="93"/>
      <c r="J90" s="93"/>
      <c r="K90" s="19"/>
      <c r="M90" s="23" t="str">
        <f t="shared" si="2"/>
        <v xml:space="preserve">             --84</v>
      </c>
      <c r="V90" s="23" t="str">
        <f t="shared" si="3"/>
        <v xml:space="preserve">      --84</v>
      </c>
    </row>
    <row r="91" spans="1:22">
      <c r="A91" s="59">
        <v>85</v>
      </c>
      <c r="B91" s="93"/>
      <c r="C91" s="92"/>
      <c r="D91" s="33"/>
      <c r="E91" s="33"/>
      <c r="F91" s="33"/>
      <c r="G91" s="33"/>
      <c r="H91" s="33"/>
      <c r="I91" s="93"/>
      <c r="J91" s="93"/>
      <c r="K91" s="19"/>
      <c r="M91" s="23" t="str">
        <f t="shared" si="2"/>
        <v xml:space="preserve">             --85</v>
      </c>
      <c r="V91" s="23" t="str">
        <f t="shared" si="3"/>
        <v xml:space="preserve">      --85</v>
      </c>
    </row>
    <row r="92" spans="1:22">
      <c r="A92" s="59">
        <v>86</v>
      </c>
      <c r="B92" s="93"/>
      <c r="C92" s="92"/>
      <c r="D92" s="33"/>
      <c r="E92" s="33"/>
      <c r="F92" s="33"/>
      <c r="G92" s="33"/>
      <c r="H92" s="33"/>
      <c r="I92" s="93"/>
      <c r="J92" s="93"/>
      <c r="K92" s="19"/>
      <c r="M92" s="23" t="str">
        <f t="shared" si="2"/>
        <v xml:space="preserve">             --86</v>
      </c>
      <c r="V92" s="23" t="str">
        <f t="shared" si="3"/>
        <v xml:space="preserve">      --86</v>
      </c>
    </row>
    <row r="93" spans="1:22">
      <c r="A93" s="59">
        <v>87</v>
      </c>
      <c r="B93" s="93"/>
      <c r="C93" s="92"/>
      <c r="D93" s="33"/>
      <c r="E93" s="33"/>
      <c r="F93" s="33"/>
      <c r="G93" s="33"/>
      <c r="H93" s="33"/>
      <c r="I93" s="93"/>
      <c r="J93" s="93"/>
      <c r="K93" s="19"/>
      <c r="M93" s="23" t="str">
        <f t="shared" si="2"/>
        <v xml:space="preserve">             --87</v>
      </c>
      <c r="V93" s="23" t="str">
        <f t="shared" si="3"/>
        <v xml:space="preserve">      --87</v>
      </c>
    </row>
    <row r="94" spans="1:22">
      <c r="A94" s="59">
        <v>88</v>
      </c>
      <c r="B94" s="93"/>
      <c r="C94" s="92"/>
      <c r="D94" s="33"/>
      <c r="E94" s="33"/>
      <c r="F94" s="33"/>
      <c r="G94" s="33"/>
      <c r="H94" s="33"/>
      <c r="I94" s="93"/>
      <c r="J94" s="93"/>
      <c r="K94" s="19"/>
      <c r="M94" s="23" t="str">
        <f t="shared" si="2"/>
        <v xml:space="preserve">             --88</v>
      </c>
      <c r="V94" s="23" t="str">
        <f t="shared" si="3"/>
        <v xml:space="preserve">      --88</v>
      </c>
    </row>
    <row r="95" spans="1:22">
      <c r="A95" s="59">
        <v>89</v>
      </c>
      <c r="B95" s="93"/>
      <c r="C95" s="92"/>
      <c r="D95" s="33"/>
      <c r="E95" s="33"/>
      <c r="F95" s="33"/>
      <c r="G95" s="33"/>
      <c r="H95" s="33"/>
      <c r="I95" s="93"/>
      <c r="J95" s="93"/>
      <c r="K95" s="19"/>
      <c r="M95" s="23" t="str">
        <f t="shared" si="2"/>
        <v xml:space="preserve">             --89</v>
      </c>
      <c r="V95" s="23" t="str">
        <f t="shared" si="3"/>
        <v xml:space="preserve">      --89</v>
      </c>
    </row>
    <row r="96" spans="1:22">
      <c r="A96" s="59">
        <v>90</v>
      </c>
      <c r="B96" s="93"/>
      <c r="C96" s="92"/>
      <c r="D96" s="33"/>
      <c r="E96" s="33"/>
      <c r="F96" s="33"/>
      <c r="G96" s="33"/>
      <c r="H96" s="33"/>
      <c r="I96" s="93"/>
      <c r="J96" s="93"/>
      <c r="K96" s="19"/>
      <c r="M96" s="23" t="str">
        <f t="shared" si="2"/>
        <v xml:space="preserve">             --90</v>
      </c>
      <c r="V96" s="23" t="str">
        <f t="shared" si="3"/>
        <v xml:space="preserve">      --90</v>
      </c>
    </row>
    <row r="97" spans="1:22">
      <c r="A97" s="59">
        <v>91</v>
      </c>
      <c r="B97" s="93"/>
      <c r="C97" s="92"/>
      <c r="D97" s="33"/>
      <c r="E97" s="33"/>
      <c r="F97" s="36"/>
      <c r="G97" s="33"/>
      <c r="H97" s="33"/>
      <c r="I97" s="93"/>
      <c r="J97" s="93"/>
      <c r="K97" s="19"/>
      <c r="M97" s="23" t="str">
        <f t="shared" si="2"/>
        <v xml:space="preserve">             --91</v>
      </c>
      <c r="V97" s="23" t="str">
        <f t="shared" si="3"/>
        <v xml:space="preserve">      --91</v>
      </c>
    </row>
    <row r="98" spans="1:22">
      <c r="A98" s="59">
        <v>92</v>
      </c>
      <c r="B98" s="2"/>
      <c r="C98" s="2"/>
      <c r="D98" s="33"/>
      <c r="E98" s="33"/>
      <c r="F98" s="33"/>
      <c r="G98" s="33"/>
      <c r="H98" s="33"/>
      <c r="I98" s="93"/>
      <c r="J98" s="93"/>
      <c r="K98" s="19"/>
      <c r="M98" s="23" t="str">
        <f t="shared" si="2"/>
        <v xml:space="preserve">             --92</v>
      </c>
      <c r="V98" s="23" t="str">
        <f t="shared" si="3"/>
        <v xml:space="preserve">      --92</v>
      </c>
    </row>
    <row r="99" spans="1:22">
      <c r="A99" s="59">
        <v>93</v>
      </c>
      <c r="B99" s="2"/>
      <c r="C99" s="2"/>
      <c r="D99" s="33"/>
      <c r="E99" s="33"/>
      <c r="F99" s="33"/>
      <c r="G99" s="33"/>
      <c r="H99" s="33"/>
      <c r="I99" s="33"/>
      <c r="J99" s="33"/>
      <c r="K99" s="19"/>
      <c r="M99" s="23" t="str">
        <f t="shared" si="2"/>
        <v xml:space="preserve">             --93</v>
      </c>
      <c r="V99" s="23" t="str">
        <f t="shared" si="3"/>
        <v xml:space="preserve">      --93</v>
      </c>
    </row>
    <row r="100" spans="1:22">
      <c r="A100" s="59">
        <v>94</v>
      </c>
      <c r="B100" s="93"/>
      <c r="C100" s="92"/>
      <c r="D100" s="33"/>
      <c r="E100" s="33"/>
      <c r="F100" s="33"/>
      <c r="G100" s="33"/>
      <c r="H100" s="33"/>
      <c r="I100" s="33"/>
      <c r="J100" s="33"/>
      <c r="K100" s="19"/>
      <c r="M100" s="23" t="str">
        <f t="shared" si="2"/>
        <v xml:space="preserve">             --94</v>
      </c>
      <c r="V100" s="23" t="str">
        <f t="shared" si="3"/>
        <v xml:space="preserve">      --94</v>
      </c>
    </row>
    <row r="101" spans="1:22">
      <c r="A101" s="59">
        <v>95</v>
      </c>
      <c r="B101" s="2"/>
      <c r="C101" s="2"/>
      <c r="D101" s="33"/>
      <c r="E101" s="33"/>
      <c r="F101" s="33"/>
      <c r="G101" s="33"/>
      <c r="H101" s="33"/>
      <c r="I101" s="93"/>
      <c r="J101" s="93"/>
      <c r="K101" s="19"/>
      <c r="M101" s="23" t="str">
        <f t="shared" si="2"/>
        <v xml:space="preserve">             --95</v>
      </c>
      <c r="V101" s="23" t="str">
        <f t="shared" si="3"/>
        <v xml:space="preserve">      --95</v>
      </c>
    </row>
    <row r="102" spans="1:22">
      <c r="A102" s="59">
        <v>96</v>
      </c>
      <c r="B102" s="2"/>
      <c r="C102" s="97"/>
      <c r="D102" s="38"/>
      <c r="E102" s="39"/>
      <c r="F102" s="40"/>
      <c r="G102" s="44"/>
      <c r="H102" s="42"/>
      <c r="I102" s="41"/>
      <c r="J102" s="41"/>
      <c r="K102" s="43"/>
      <c r="M102" s="23" t="str">
        <f t="shared" si="2"/>
        <v xml:space="preserve">             --96</v>
      </c>
      <c r="V102" s="23" t="str">
        <f t="shared" si="3"/>
        <v xml:space="preserve">      --96</v>
      </c>
    </row>
    <row r="103" spans="1:22">
      <c r="A103" s="59">
        <v>97</v>
      </c>
      <c r="B103" s="2"/>
      <c r="C103" s="2"/>
      <c r="D103" s="33"/>
      <c r="E103" s="46"/>
      <c r="F103" s="33"/>
      <c r="G103" s="33"/>
      <c r="H103" s="33"/>
      <c r="I103" s="33"/>
      <c r="J103" s="33"/>
      <c r="K103" s="19"/>
      <c r="M103" s="23" t="str">
        <f t="shared" si="2"/>
        <v xml:space="preserve">             --97</v>
      </c>
      <c r="V103" s="23" t="str">
        <f t="shared" si="3"/>
        <v xml:space="preserve">      --97</v>
      </c>
    </row>
    <row r="104" spans="1:22">
      <c r="A104" s="59">
        <v>98</v>
      </c>
      <c r="B104" s="2"/>
      <c r="C104" s="2"/>
      <c r="D104" s="33"/>
      <c r="E104" s="46"/>
      <c r="F104" s="33"/>
      <c r="G104" s="33"/>
      <c r="H104" s="33"/>
      <c r="I104" s="33"/>
      <c r="J104" s="33"/>
      <c r="K104" s="19"/>
      <c r="M104" s="23" t="str">
        <f t="shared" si="2"/>
        <v xml:space="preserve">             --98</v>
      </c>
      <c r="V104" s="23" t="str">
        <f t="shared" si="3"/>
        <v xml:space="preserve">      --98</v>
      </c>
    </row>
    <row r="105" spans="1:22">
      <c r="A105" s="59">
        <v>99</v>
      </c>
      <c r="B105" s="2"/>
      <c r="C105" s="2"/>
      <c r="D105" s="33"/>
      <c r="E105" s="46"/>
      <c r="F105" s="36"/>
      <c r="G105" s="33"/>
      <c r="H105" s="33"/>
      <c r="I105" s="93"/>
      <c r="J105" s="93"/>
      <c r="K105" s="19"/>
      <c r="M105" s="23" t="str">
        <f t="shared" si="2"/>
        <v xml:space="preserve">             --99</v>
      </c>
      <c r="V105" s="23" t="str">
        <f t="shared" si="3"/>
        <v xml:space="preserve">      --99</v>
      </c>
    </row>
    <row r="106" spans="1:22">
      <c r="A106" s="59">
        <v>100</v>
      </c>
      <c r="B106" s="97"/>
      <c r="C106" s="91"/>
      <c r="D106" s="33"/>
      <c r="E106" s="46"/>
      <c r="F106" s="33"/>
      <c r="G106" s="33"/>
      <c r="H106" s="33"/>
      <c r="I106" s="93"/>
      <c r="J106" s="93"/>
      <c r="K106" s="19"/>
      <c r="M106" s="23" t="str">
        <f t="shared" si="2"/>
        <v xml:space="preserve">             --100</v>
      </c>
      <c r="V106" s="23" t="str">
        <f t="shared" si="3"/>
        <v xml:space="preserve">      --100</v>
      </c>
    </row>
    <row r="107" spans="1:22">
      <c r="A107" s="30"/>
      <c r="B107" s="27"/>
      <c r="C107" s="27"/>
      <c r="D107" s="30"/>
      <c r="E107" s="30"/>
      <c r="F107" s="27"/>
      <c r="G107" s="27"/>
      <c r="H107" s="27"/>
      <c r="I107" s="27"/>
      <c r="J107" s="27"/>
      <c r="K107" s="27"/>
      <c r="M107" s="23"/>
    </row>
    <row r="108" spans="1:22">
      <c r="B108" s="20" t="s">
        <v>2</v>
      </c>
      <c r="M108" s="24" t="str">
        <f>REPT(" ",13)&amp;IF(ISBLANK($G7),"--","")&amp;"CONSTRAINT   " &amp; "idx_" &amp; $C$3 &amp; "_pk  PRIMARY KEY CLUSTERED ("</f>
        <v xml:space="preserve">             --CONSTRAINT   idx_History_pk  PRIMARY KEY CLUSTERED (</v>
      </c>
    </row>
    <row r="109" spans="1:22">
      <c r="B109" s="59" t="s">
        <v>5</v>
      </c>
      <c r="C109" s="59" t="s">
        <v>3</v>
      </c>
      <c r="D109" s="59" t="s">
        <v>4</v>
      </c>
      <c r="M109" s="18" t="str">
        <f>REPT(" ",25)&amp;IF($G7="","--"&amp;$A7,"")&amp;IF($G7&lt;&gt;"",IF(LEFT(TRIM($M108),10)="CONSTRAINT"," ",",") &amp; TRIM($B7),"")</f>
        <v xml:space="preserve">                         --1</v>
      </c>
    </row>
    <row r="110" spans="1:22">
      <c r="B110" s="21"/>
      <c r="C110" s="34"/>
      <c r="D110" s="59"/>
      <c r="M110" s="24" t="str">
        <f t="shared" ref="M110:M117" si="4">REPT(" ",25)&amp;IF($G8="","--"&amp;$A8,"")&amp;IF($G8&lt;&gt;"",IF(LEFT(TRIM($M109),10)="CONSTRAINT"," ",",") &amp; TRIM($B8),"")</f>
        <v xml:space="preserve">                         --2</v>
      </c>
    </row>
    <row r="111" spans="1:22">
      <c r="B111" s="21"/>
      <c r="C111" s="97"/>
      <c r="D111" s="21"/>
      <c r="G111" s="29"/>
      <c r="M111" s="24" t="str">
        <f t="shared" si="4"/>
        <v xml:space="preserve">                         --3</v>
      </c>
    </row>
    <row r="112" spans="1:22">
      <c r="B112" s="31"/>
      <c r="C112" s="97"/>
      <c r="D112" s="21"/>
      <c r="G112" s="29"/>
      <c r="M112" s="24" t="str">
        <f t="shared" si="4"/>
        <v xml:space="preserve">                         --4</v>
      </c>
    </row>
    <row r="113" spans="2:17">
      <c r="B113" s="31"/>
      <c r="C113" s="97"/>
      <c r="D113" s="21"/>
      <c r="G113" s="29"/>
      <c r="M113" s="24" t="str">
        <f t="shared" si="4"/>
        <v xml:space="preserve">                         --5</v>
      </c>
    </row>
    <row r="114" spans="2:17">
      <c r="B114" s="31"/>
      <c r="C114" s="97"/>
      <c r="D114" s="21"/>
      <c r="M114" s="24" t="str">
        <f t="shared" si="4"/>
        <v xml:space="preserve">                         --6</v>
      </c>
    </row>
    <row r="115" spans="2:17">
      <c r="B115" s="21"/>
      <c r="C115" s="97"/>
      <c r="D115" s="59"/>
      <c r="M115" s="24" t="str">
        <f t="shared" si="4"/>
        <v xml:space="preserve">                         --7</v>
      </c>
    </row>
    <row r="116" spans="2:17">
      <c r="B116" s="21"/>
      <c r="C116" s="97"/>
      <c r="D116" s="59"/>
      <c r="M116" s="24" t="str">
        <f t="shared" si="4"/>
        <v xml:space="preserve">                         --8</v>
      </c>
    </row>
    <row r="117" spans="2:17">
      <c r="B117" s="21"/>
      <c r="C117" s="97"/>
      <c r="D117" s="59"/>
      <c r="M117" s="24" t="str">
        <f t="shared" si="4"/>
        <v xml:space="preserve">                         --9</v>
      </c>
    </row>
    <row r="118" spans="2:17">
      <c r="M118" s="24" t="str">
        <f>REPT(" ",25)&amp;IF($G16="","--"&amp;$A16,"")&amp;IF($G16&lt;&gt;"",IF(LEFT(TRIM($M117),10)="CONSTRAINT"," ",",") &amp; TRIM($B16),"")</f>
        <v xml:space="preserve">                         --10</v>
      </c>
    </row>
    <row r="119" spans="2:17">
      <c r="B119" s="20" t="s">
        <v>0</v>
      </c>
      <c r="M119" s="61" t="s">
        <v>272</v>
      </c>
    </row>
    <row r="120" spans="2:17">
      <c r="M120" s="26"/>
    </row>
    <row r="121" spans="2:17">
      <c r="M121" s="18" t="str">
        <f>IF(OR(TRIM(UPPER($I$5))="",TRIM(UPPER($I$5))="DEFAULT"),"","ALTER  TABLE  "&amp;$C$3&amp;"  STORAGE  (BUFFER_POOL  "&amp;UPPER($I$5)&amp;");  --KEEP | RECYCLE | DEFAULT")</f>
        <v/>
      </c>
    </row>
    <row r="122" spans="2:17">
      <c r="M122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'이력',                                                          'schema', 'dbo', 'table', 'History';                  -- 테이블</v>
      </c>
      <c r="Q122" s="25"/>
    </row>
    <row r="123" spans="2:17">
      <c r="M123" s="24" t="str">
        <f>IF(TRIM($B7)="","-- "&amp;$A7&amp;",",IF(LEFT($B7,2)="--","-- "&amp;$A7&amp;",","")&amp;"EXEC sp_addextendedproperty 'MS_Description', '"&amp;TRIM($C7)&amp;IF($K7="","","("&amp;$K7&amp;")")&amp;"', "&amp;REPT(" ",60-LENB(TRIM($C7)&amp;IF($K7="","","("&amp;$K7&amp;")")))&amp;" 'schema', 'dbo', N'table', '"&amp;TRIM($C$3)&amp;"', 'column', '"&amp;TRIM($B7)&amp;"';"&amp;REPT(" ",20-LENB(TRIM($B7)))&amp;"-- 컬럼")</f>
        <v>EXEC sp_addextendedproperty 'MS_Description', '이력번호',                                                      'schema', 'dbo', N'table', 'History', 'column', 'historyNumber';       -- 컬럼</v>
      </c>
      <c r="Q123" s="25"/>
    </row>
    <row r="124" spans="2:17">
      <c r="M124" s="24" t="str">
        <f t="shared" ref="M124:M187" si="5">IF(TRIM($B8)="","-- "&amp;$A8&amp;",",IF(LEFT($B8,2)="--","-- "&amp;$A8&amp;",","")&amp;"EXEC sp_addextendedproperty 'MS_Description', '"&amp;TRIM($C8)&amp;IF($K8="","","("&amp;$K8&amp;")")&amp;"', "&amp;REPT(" ",60-LENB(TRIM($C8)&amp;IF($K8="","","("&amp;$K8&amp;")")))&amp;" 'schema', 'dbo', N'table', '"&amp;TRIM($C$3)&amp;"', 'column', '"&amp;TRIM($B8)&amp;"';"&amp;REPT(" ",20-LENB(TRIM($B8)))&amp;"-- 컬럼")</f>
        <v>EXEC sp_addextendedproperty 'MS_Description', '이력구분(P(상품), O(주문), H(흔적))',                           'schema', 'dbo', N'table', 'History', 'column', 'historyCategory';     -- 컬럼</v>
      </c>
      <c r="Q124" s="25"/>
    </row>
    <row r="125" spans="2:17">
      <c r="M125" s="24" t="str">
        <f t="shared" si="5"/>
        <v>EXEC sp_addextendedproperty 'MS_Description', '하위구분(I(등록) ,U(수정) ,D(삭제) ,S(조회))',                  'schema', 'dbo', N'table', 'History', 'column', 'subDivide';           -- 컬럼</v>
      </c>
      <c r="Q125" s="25"/>
    </row>
    <row r="126" spans="2:17">
      <c r="M126" s="24" t="str">
        <f t="shared" si="5"/>
        <v>EXEC sp_addextendedproperty 'MS_Description', '내용',                                                          'schema', 'dbo', N'table', 'History', 'column', 'contents';            -- 컬럼</v>
      </c>
      <c r="Q126" s="25"/>
    </row>
    <row r="127" spans="2:17">
      <c r="M127" s="24" t="str">
        <f t="shared" si="5"/>
        <v>EXEC sp_addextendedproperty 'MS_Description', '사용여부(Y,N)',                                                 'schema', 'dbo', N'table', 'History', 'column', 'useAt';               -- 컬럼</v>
      </c>
      <c r="Q127" s="25"/>
    </row>
    <row r="128" spans="2:17">
      <c r="M128" s="24" t="str">
        <f t="shared" si="5"/>
        <v>EXEC sp_addextendedproperty 'MS_Description', '삭제여부(Y,N)',                                                 'schema', 'dbo', N'table', 'History', 'column', 'delAt';               -- 컬럼</v>
      </c>
      <c r="Q128" s="25"/>
    </row>
    <row r="129" spans="13:17">
      <c r="M129" s="24" t="str">
        <f t="shared" si="5"/>
        <v>EXEC sp_addextendedproperty 'MS_Description', '생성자',                                                        'schema', 'dbo', N'table', 'History', 'column', 'createId';            -- 컬럼</v>
      </c>
      <c r="Q129" s="25"/>
    </row>
    <row r="130" spans="13:17">
      <c r="M130" s="24" t="str">
        <f t="shared" si="5"/>
        <v>EXEC sp_addextendedproperty 'MS_Description', '생성 일시',                                                     'schema', 'dbo', N'table', 'History', 'column', 'createDate';          -- 컬럼</v>
      </c>
      <c r="Q130" s="25"/>
    </row>
    <row r="131" spans="13:17">
      <c r="M131" s="24" t="str">
        <f t="shared" si="5"/>
        <v>EXEC sp_addextendedproperty 'MS_Description', '수정자',                                                        'schema', 'dbo', N'table', 'History', 'column', 'updateId';            -- 컬럼</v>
      </c>
      <c r="Q131" s="25"/>
    </row>
    <row r="132" spans="13:17">
      <c r="M132" s="24" t="str">
        <f t="shared" si="5"/>
        <v>EXEC sp_addextendedproperty 'MS_Description', '갱신 일시',                                                     'schema', 'dbo', N'table', 'History', 'column', 'updateDate';          -- 컬럼</v>
      </c>
      <c r="Q132" s="25"/>
    </row>
    <row r="133" spans="13:17">
      <c r="M133" s="24" t="str">
        <f t="shared" si="5"/>
        <v>-- 11,</v>
      </c>
      <c r="Q133" s="25"/>
    </row>
    <row r="134" spans="13:17">
      <c r="M134" s="24" t="str">
        <f t="shared" si="5"/>
        <v>-- 12,</v>
      </c>
      <c r="Q134" s="25"/>
    </row>
    <row r="135" spans="13:17">
      <c r="M135" s="24" t="str">
        <f t="shared" si="5"/>
        <v>-- 13,</v>
      </c>
      <c r="Q135" s="25"/>
    </row>
    <row r="136" spans="13:17">
      <c r="M136" s="24" t="str">
        <f t="shared" si="5"/>
        <v>-- 14,</v>
      </c>
      <c r="Q136" s="25"/>
    </row>
    <row r="137" spans="13:17">
      <c r="M137" s="24" t="str">
        <f t="shared" si="5"/>
        <v>-- 15,</v>
      </c>
      <c r="Q137" s="25"/>
    </row>
    <row r="138" spans="13:17">
      <c r="M138" s="24" t="str">
        <f t="shared" si="5"/>
        <v>-- 16,</v>
      </c>
      <c r="Q138" s="25"/>
    </row>
    <row r="139" spans="13:17">
      <c r="M139" s="24" t="str">
        <f t="shared" si="5"/>
        <v>-- 17,</v>
      </c>
      <c r="Q139" s="25"/>
    </row>
    <row r="140" spans="13:17">
      <c r="M140" s="24" t="str">
        <f t="shared" si="5"/>
        <v>-- 18,</v>
      </c>
      <c r="Q140" s="25"/>
    </row>
    <row r="141" spans="13:17">
      <c r="M141" s="24" t="str">
        <f t="shared" si="5"/>
        <v>-- 19,</v>
      </c>
      <c r="Q141" s="25"/>
    </row>
    <row r="142" spans="13:17">
      <c r="M142" s="24" t="str">
        <f t="shared" si="5"/>
        <v>-- 20,</v>
      </c>
      <c r="Q142" s="25"/>
    </row>
    <row r="143" spans="13:17">
      <c r="M143" s="24" t="str">
        <f t="shared" si="5"/>
        <v>-- 21,</v>
      </c>
      <c r="Q143" s="25"/>
    </row>
    <row r="144" spans="13:17">
      <c r="M144" s="24" t="str">
        <f t="shared" si="5"/>
        <v>-- 22,</v>
      </c>
      <c r="Q144" s="25"/>
    </row>
    <row r="145" spans="13:17">
      <c r="M145" s="24" t="str">
        <f t="shared" si="5"/>
        <v>-- 23,</v>
      </c>
      <c r="Q145" s="25"/>
    </row>
    <row r="146" spans="13:17">
      <c r="M146" s="24" t="str">
        <f t="shared" si="5"/>
        <v>-- 24,</v>
      </c>
      <c r="Q146" s="25"/>
    </row>
    <row r="147" spans="13:17">
      <c r="M147" s="24" t="str">
        <f t="shared" si="5"/>
        <v>-- 25,</v>
      </c>
      <c r="Q147" s="25"/>
    </row>
    <row r="148" spans="13:17">
      <c r="M148" s="24" t="str">
        <f t="shared" si="5"/>
        <v>-- 26,</v>
      </c>
      <c r="Q148" s="25"/>
    </row>
    <row r="149" spans="13:17">
      <c r="M149" s="24" t="str">
        <f t="shared" si="5"/>
        <v>-- 27,</v>
      </c>
      <c r="Q149" s="25"/>
    </row>
    <row r="150" spans="13:17">
      <c r="M150" s="24" t="str">
        <f t="shared" si="5"/>
        <v>-- 28,</v>
      </c>
      <c r="Q150" s="25"/>
    </row>
    <row r="151" spans="13:17">
      <c r="M151" s="24" t="str">
        <f t="shared" si="5"/>
        <v>-- 29,</v>
      </c>
      <c r="Q151" s="25"/>
    </row>
    <row r="152" spans="13:17">
      <c r="M152" s="24" t="str">
        <f t="shared" si="5"/>
        <v>-- 30,</v>
      </c>
      <c r="Q152" s="25"/>
    </row>
    <row r="153" spans="13:17">
      <c r="M153" s="24" t="str">
        <f t="shared" si="5"/>
        <v>-- 31,</v>
      </c>
      <c r="Q153" s="25"/>
    </row>
    <row r="154" spans="13:17">
      <c r="M154" s="24" t="str">
        <f t="shared" si="5"/>
        <v>-- 32,</v>
      </c>
      <c r="Q154" s="25"/>
    </row>
    <row r="155" spans="13:17">
      <c r="M155" s="24" t="str">
        <f t="shared" si="5"/>
        <v>-- 33,</v>
      </c>
      <c r="Q155" s="25"/>
    </row>
    <row r="156" spans="13:17">
      <c r="M156" s="24" t="str">
        <f t="shared" si="5"/>
        <v>-- 34,</v>
      </c>
      <c r="Q156" s="25"/>
    </row>
    <row r="157" spans="13:17">
      <c r="M157" s="24" t="str">
        <f t="shared" si="5"/>
        <v>-- 35,</v>
      </c>
      <c r="Q157" s="25"/>
    </row>
    <row r="158" spans="13:17">
      <c r="M158" s="24" t="str">
        <f t="shared" si="5"/>
        <v>-- 36,</v>
      </c>
      <c r="Q158" s="25"/>
    </row>
    <row r="159" spans="13:17">
      <c r="M159" s="24" t="str">
        <f t="shared" si="5"/>
        <v>-- 37,</v>
      </c>
      <c r="Q159" s="25"/>
    </row>
    <row r="160" spans="13:17">
      <c r="M160" s="24" t="str">
        <f t="shared" si="5"/>
        <v>-- 38,</v>
      </c>
      <c r="Q160" s="25"/>
    </row>
    <row r="161" spans="12:17">
      <c r="M161" s="24" t="str">
        <f t="shared" si="5"/>
        <v>-- 39,</v>
      </c>
      <c r="Q161" s="25"/>
    </row>
    <row r="162" spans="12:17">
      <c r="M162" s="24" t="str">
        <f t="shared" si="5"/>
        <v>-- 40,</v>
      </c>
      <c r="Q162" s="25"/>
    </row>
    <row r="163" spans="12:17">
      <c r="M163" s="24" t="str">
        <f t="shared" si="5"/>
        <v>-- 41,</v>
      </c>
      <c r="Q163" s="25"/>
    </row>
    <row r="164" spans="12:17">
      <c r="M164" s="24" t="str">
        <f t="shared" si="5"/>
        <v>-- 42,</v>
      </c>
      <c r="Q164" s="25"/>
    </row>
    <row r="165" spans="12:17">
      <c r="M165" s="24" t="str">
        <f t="shared" si="5"/>
        <v>-- 43,</v>
      </c>
      <c r="Q165" s="25"/>
    </row>
    <row r="166" spans="12:17">
      <c r="M166" s="24" t="str">
        <f t="shared" si="5"/>
        <v>-- 44,</v>
      </c>
      <c r="Q166" s="25"/>
    </row>
    <row r="167" spans="12:17">
      <c r="M167" s="24" t="str">
        <f t="shared" si="5"/>
        <v>-- 45,</v>
      </c>
      <c r="Q167" s="25"/>
    </row>
    <row r="168" spans="12:17">
      <c r="M168" s="24" t="str">
        <f t="shared" si="5"/>
        <v>-- 46,</v>
      </c>
      <c r="Q168" s="25"/>
    </row>
    <row r="169" spans="12:17">
      <c r="M169" s="24" t="str">
        <f t="shared" si="5"/>
        <v>-- 47,</v>
      </c>
      <c r="Q169" s="25"/>
    </row>
    <row r="170" spans="12:17">
      <c r="M170" s="24" t="str">
        <f t="shared" si="5"/>
        <v>-- 48,</v>
      </c>
      <c r="Q170" s="25"/>
    </row>
    <row r="171" spans="12:17">
      <c r="M171" s="24" t="str">
        <f t="shared" si="5"/>
        <v>-- 49,</v>
      </c>
      <c r="Q171" s="25"/>
    </row>
    <row r="172" spans="12:17">
      <c r="M172" s="24" t="str">
        <f t="shared" si="5"/>
        <v>-- 50,</v>
      </c>
    </row>
    <row r="173" spans="12:17">
      <c r="L173" s="24"/>
      <c r="M173" s="24" t="str">
        <f t="shared" si="5"/>
        <v>-- 51,</v>
      </c>
    </row>
    <row r="174" spans="12:17">
      <c r="L174" s="24"/>
      <c r="M174" s="24" t="str">
        <f t="shared" si="5"/>
        <v>-- 52,</v>
      </c>
    </row>
    <row r="175" spans="12:17">
      <c r="L175" s="24"/>
      <c r="M175" s="24" t="str">
        <f t="shared" si="5"/>
        <v>-- 53,</v>
      </c>
    </row>
    <row r="176" spans="12:17">
      <c r="L176" s="24"/>
      <c r="M176" s="24" t="str">
        <f t="shared" si="5"/>
        <v>-- 54,</v>
      </c>
    </row>
    <row r="177" spans="12:13">
      <c r="L177" s="24"/>
      <c r="M177" s="24" t="str">
        <f t="shared" si="5"/>
        <v>-- 55,</v>
      </c>
    </row>
    <row r="178" spans="12:13">
      <c r="L178" s="24"/>
      <c r="M178" s="24" t="str">
        <f t="shared" si="5"/>
        <v>-- 56,</v>
      </c>
    </row>
    <row r="179" spans="12:13">
      <c r="L179" s="24"/>
      <c r="M179" s="24" t="str">
        <f t="shared" si="5"/>
        <v>-- 57,</v>
      </c>
    </row>
    <row r="180" spans="12:13">
      <c r="L180" s="24"/>
      <c r="M180" s="24" t="str">
        <f t="shared" si="5"/>
        <v>-- 58,</v>
      </c>
    </row>
    <row r="181" spans="12:13">
      <c r="L181" s="24"/>
      <c r="M181" s="24" t="str">
        <f t="shared" si="5"/>
        <v>-- 59,</v>
      </c>
    </row>
    <row r="182" spans="12:13">
      <c r="L182" s="24"/>
      <c r="M182" s="24" t="str">
        <f t="shared" si="5"/>
        <v>-- 60,</v>
      </c>
    </row>
    <row r="183" spans="12:13">
      <c r="L183" s="24"/>
      <c r="M183" s="24" t="str">
        <f t="shared" si="5"/>
        <v>-- 61,</v>
      </c>
    </row>
    <row r="184" spans="12:13">
      <c r="L184" s="24"/>
      <c r="M184" s="24" t="str">
        <f t="shared" si="5"/>
        <v>-- 62,</v>
      </c>
    </row>
    <row r="185" spans="12:13">
      <c r="L185" s="24"/>
      <c r="M185" s="24" t="str">
        <f t="shared" si="5"/>
        <v>-- 63,</v>
      </c>
    </row>
    <row r="186" spans="12:13">
      <c r="L186" s="24"/>
      <c r="M186" s="24" t="str">
        <f t="shared" si="5"/>
        <v>-- 64,</v>
      </c>
    </row>
    <row r="187" spans="12:13">
      <c r="L187" s="24"/>
      <c r="M187" s="24" t="str">
        <f t="shared" si="5"/>
        <v>-- 65,</v>
      </c>
    </row>
    <row r="188" spans="12:13">
      <c r="L188" s="24"/>
      <c r="M188" s="24" t="str">
        <f t="shared" ref="M188:M222" si="6">IF(TRIM($B72)="","-- "&amp;$A72&amp;",",IF(LEFT($B72,2)="--","-- "&amp;$A72&amp;",","")&amp;"EXEC sp_addextendedproperty 'MS_Description', '"&amp;TRIM($C72)&amp;IF($K72="","","("&amp;$K72&amp;")")&amp;"', "&amp;REPT(" ",60-LENB(TRIM($C72)&amp;IF($K72="","","("&amp;$K72&amp;")")))&amp;" 'schema', 'dbo', N'table', '"&amp;TRIM($C$3)&amp;"', 'column', '"&amp;TRIM($B72)&amp;"';"&amp;REPT(" ",20-LENB(TRIM($B72)))&amp;"-- 컬럼")</f>
        <v>-- 66,</v>
      </c>
    </row>
    <row r="189" spans="12:13">
      <c r="L189" s="24"/>
      <c r="M189" s="24" t="str">
        <f t="shared" si="6"/>
        <v>-- 67,</v>
      </c>
    </row>
    <row r="190" spans="12:13">
      <c r="L190" s="24"/>
      <c r="M190" s="24" t="str">
        <f t="shared" si="6"/>
        <v>-- 68,</v>
      </c>
    </row>
    <row r="191" spans="12:13">
      <c r="L191" s="24"/>
      <c r="M191" s="24" t="str">
        <f t="shared" si="6"/>
        <v>-- 69,</v>
      </c>
    </row>
    <row r="192" spans="12:13">
      <c r="L192" s="24"/>
      <c r="M192" s="24" t="str">
        <f t="shared" si="6"/>
        <v>-- 70,</v>
      </c>
    </row>
    <row r="193" spans="12:13">
      <c r="L193" s="24"/>
      <c r="M193" s="24" t="str">
        <f t="shared" si="6"/>
        <v>-- 71,</v>
      </c>
    </row>
    <row r="194" spans="12:13">
      <c r="L194" s="24"/>
      <c r="M194" s="24" t="str">
        <f t="shared" si="6"/>
        <v>-- 72,</v>
      </c>
    </row>
    <row r="195" spans="12:13">
      <c r="L195" s="24"/>
      <c r="M195" s="24" t="str">
        <f t="shared" si="6"/>
        <v>-- 73,</v>
      </c>
    </row>
    <row r="196" spans="12:13">
      <c r="L196" s="24"/>
      <c r="M196" s="24" t="str">
        <f t="shared" si="6"/>
        <v>-- 74,</v>
      </c>
    </row>
    <row r="197" spans="12:13">
      <c r="L197" s="24"/>
      <c r="M197" s="24" t="str">
        <f t="shared" si="6"/>
        <v>-- 75,</v>
      </c>
    </row>
    <row r="198" spans="12:13">
      <c r="L198" s="24"/>
      <c r="M198" s="24" t="str">
        <f t="shared" si="6"/>
        <v>-- 76,</v>
      </c>
    </row>
    <row r="199" spans="12:13">
      <c r="L199" s="24"/>
      <c r="M199" s="24" t="str">
        <f t="shared" si="6"/>
        <v>-- 77,</v>
      </c>
    </row>
    <row r="200" spans="12:13">
      <c r="L200" s="24"/>
      <c r="M200" s="24" t="str">
        <f t="shared" si="6"/>
        <v>-- 78,</v>
      </c>
    </row>
    <row r="201" spans="12:13">
      <c r="L201" s="24"/>
      <c r="M201" s="24" t="str">
        <f t="shared" si="6"/>
        <v>-- 79,</v>
      </c>
    </row>
    <row r="202" spans="12:13">
      <c r="L202" s="24"/>
      <c r="M202" s="24" t="str">
        <f t="shared" si="6"/>
        <v>-- 80,</v>
      </c>
    </row>
    <row r="203" spans="12:13">
      <c r="L203" s="24"/>
      <c r="M203" s="24" t="str">
        <f t="shared" si="6"/>
        <v>-- 81,</v>
      </c>
    </row>
    <row r="204" spans="12:13">
      <c r="L204" s="24"/>
      <c r="M204" s="24" t="str">
        <f t="shared" si="6"/>
        <v>-- 82,</v>
      </c>
    </row>
    <row r="205" spans="12:13">
      <c r="L205" s="24"/>
      <c r="M205" s="24" t="str">
        <f t="shared" si="6"/>
        <v>-- 83,</v>
      </c>
    </row>
    <row r="206" spans="12:13">
      <c r="L206" s="24"/>
      <c r="M206" s="24" t="str">
        <f t="shared" si="6"/>
        <v>-- 84,</v>
      </c>
    </row>
    <row r="207" spans="12:13">
      <c r="L207" s="24"/>
      <c r="M207" s="24" t="str">
        <f t="shared" si="6"/>
        <v>-- 85,</v>
      </c>
    </row>
    <row r="208" spans="12:13">
      <c r="L208" s="24"/>
      <c r="M208" s="24" t="str">
        <f t="shared" si="6"/>
        <v>-- 86,</v>
      </c>
    </row>
    <row r="209" spans="12:13">
      <c r="L209" s="24"/>
      <c r="M209" s="24" t="str">
        <f t="shared" si="6"/>
        <v>-- 87,</v>
      </c>
    </row>
    <row r="210" spans="12:13">
      <c r="L210" s="24"/>
      <c r="M210" s="24" t="str">
        <f t="shared" si="6"/>
        <v>-- 88,</v>
      </c>
    </row>
    <row r="211" spans="12:13">
      <c r="L211" s="24"/>
      <c r="M211" s="24" t="str">
        <f t="shared" si="6"/>
        <v>-- 89,</v>
      </c>
    </row>
    <row r="212" spans="12:13">
      <c r="L212" s="24"/>
      <c r="M212" s="24" t="str">
        <f t="shared" si="6"/>
        <v>-- 90,</v>
      </c>
    </row>
    <row r="213" spans="12:13">
      <c r="L213" s="24"/>
      <c r="M213" s="24" t="str">
        <f t="shared" si="6"/>
        <v>-- 91,</v>
      </c>
    </row>
    <row r="214" spans="12:13">
      <c r="L214" s="24"/>
      <c r="M214" s="24" t="str">
        <f t="shared" si="6"/>
        <v>-- 92,</v>
      </c>
    </row>
    <row r="215" spans="12:13">
      <c r="L215" s="24"/>
      <c r="M215" s="24" t="str">
        <f t="shared" si="6"/>
        <v>-- 93,</v>
      </c>
    </row>
    <row r="216" spans="12:13">
      <c r="L216" s="24"/>
      <c r="M216" s="24" t="str">
        <f t="shared" si="6"/>
        <v>-- 94,</v>
      </c>
    </row>
    <row r="217" spans="12:13">
      <c r="L217" s="24"/>
      <c r="M217" s="24" t="str">
        <f t="shared" si="6"/>
        <v>-- 95,</v>
      </c>
    </row>
    <row r="218" spans="12:13">
      <c r="L218" s="24"/>
      <c r="M218" s="24" t="str">
        <f t="shared" si="6"/>
        <v>-- 96,</v>
      </c>
    </row>
    <row r="219" spans="12:13">
      <c r="L219" s="24"/>
      <c r="M219" s="24" t="str">
        <f t="shared" si="6"/>
        <v>-- 97,</v>
      </c>
    </row>
    <row r="220" spans="12:13">
      <c r="L220" s="24"/>
      <c r="M220" s="24" t="str">
        <f t="shared" si="6"/>
        <v>-- 98,</v>
      </c>
    </row>
    <row r="221" spans="12:13">
      <c r="L221" s="24"/>
      <c r="M221" s="24" t="str">
        <f t="shared" si="6"/>
        <v>-- 99,</v>
      </c>
    </row>
    <row r="222" spans="12:13">
      <c r="L222" s="24"/>
      <c r="M222" s="24" t="str">
        <f t="shared" si="6"/>
        <v>-- 100,</v>
      </c>
    </row>
    <row r="223" spans="12:13">
      <c r="L223" s="24"/>
      <c r="M223" s="24"/>
    </row>
    <row r="224" spans="12:13">
      <c r="L224" s="24"/>
      <c r="M224" s="18" t="s">
        <v>651</v>
      </c>
    </row>
    <row r="225" spans="12:13">
      <c r="L225" s="24"/>
      <c r="M225" s="24" t="str">
        <f>REPT(" ",6)&amp;IF(ISBLANK($B7),"--"&amp;$A7,
LEFT(SUBSTITUTE($B7," ","*")&amp;
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historyNumber                 VARCHAR(256)                                                ,</v>
      </c>
    </row>
    <row r="226" spans="12:13">
      <c r="L226" s="24"/>
      <c r="M226" s="24" t="str">
        <f>IF(TRIM($B110)="","-- "&amp;$A110&amp;",",IF(LEFT($B110,2)="--","-- "&amp;$A110&amp;",","")&amp;"EXEC sp_addextendedproperty 'MS_Description', '"&amp;TRIM($C110)&amp;IF($K110="","","("&amp;$K110&amp;")")&amp;"', "&amp;REPT(" ",60-LENB(TRIM($C110)&amp;IF($K110="","","("&amp;$K110&amp;")")))&amp;" 'schema', 'dbo', N'table', '"&amp;TRIM($C$3)&amp;"', 'column', '"&amp;TRIM($B110)&amp;"';"&amp;REPT(" ",20-LENB(TRIM($B110)))&amp;"-- 컬럼")</f>
        <v>-- ,</v>
      </c>
    </row>
    <row r="227" spans="12:13">
      <c r="L227" s="24"/>
      <c r="M227" s="24" t="str">
        <f t="shared" ref="M227:M290" si="7">IF(TRIM($B111)="","-- "&amp;$A111&amp;",",IF(LEFT($B111,2)="--","-- "&amp;$A111&amp;",","")&amp;"EXEC sp_addextendedproperty 'MS_Description', '"&amp;TRIM($C111)&amp;IF($K111="","","("&amp;$K111&amp;")")&amp;"', "&amp;REPT(" ",60-LENB(TRIM($C111)&amp;IF($K111="","","("&amp;$K111&amp;")")))&amp;" 'schema', 'dbo', N'table', '"&amp;TRIM($C$3)&amp;"', 'column', '"&amp;TRIM($B111)&amp;"';"&amp;REPT(" ",20-LENB(TRIM($B111)))&amp;"-- 컬럼")</f>
        <v>-- ,</v>
      </c>
    </row>
    <row r="228" spans="12:13">
      <c r="L228" s="24"/>
      <c r="M228" s="24" t="str">
        <f t="shared" si="7"/>
        <v>-- ,</v>
      </c>
    </row>
    <row r="229" spans="12:13">
      <c r="L229" s="24"/>
      <c r="M229" s="24" t="str">
        <f t="shared" si="7"/>
        <v>-- ,</v>
      </c>
    </row>
    <row r="230" spans="12:13">
      <c r="L230" s="24"/>
      <c r="M230" s="24" t="str">
        <f t="shared" si="7"/>
        <v>-- ,</v>
      </c>
    </row>
    <row r="231" spans="12:13">
      <c r="L231" s="24"/>
      <c r="M231" s="24" t="str">
        <f t="shared" si="7"/>
        <v>-- ,</v>
      </c>
    </row>
    <row r="232" spans="12:13">
      <c r="L232" s="24"/>
      <c r="M232" s="24" t="str">
        <f t="shared" si="7"/>
        <v>-- ,</v>
      </c>
    </row>
    <row r="233" spans="12:13">
      <c r="L233" s="24"/>
      <c r="M233" s="24" t="str">
        <f t="shared" si="7"/>
        <v>-- ,</v>
      </c>
    </row>
    <row r="234" spans="12:13">
      <c r="L234" s="24"/>
      <c r="M234" s="24" t="str">
        <f t="shared" si="7"/>
        <v>-- ,</v>
      </c>
    </row>
    <row r="235" spans="12:13">
      <c r="L235" s="24"/>
      <c r="M235" s="24" t="str">
        <f t="shared" si="7"/>
        <v>EXEC sp_addextendedproperty 'MS_Description', '',                                                              'schema', 'dbo', N'table', 'History', 'column', '*초기데이터';         -- 컬럼</v>
      </c>
    </row>
    <row r="236" spans="12:13">
      <c r="L236" s="24"/>
      <c r="M236" s="24" t="str">
        <f t="shared" si="7"/>
        <v>-- ,</v>
      </c>
    </row>
    <row r="237" spans="12:13">
      <c r="L237" s="24"/>
      <c r="M237" s="24" t="str">
        <f t="shared" si="7"/>
        <v>-- ,</v>
      </c>
    </row>
    <row r="238" spans="12:13">
      <c r="L238" s="24"/>
      <c r="M238" s="24" t="str">
        <f t="shared" si="7"/>
        <v>-- ,</v>
      </c>
    </row>
    <row r="239" spans="12:13">
      <c r="L239" s="24"/>
      <c r="M239" s="24" t="str">
        <f t="shared" si="7"/>
        <v>-- ,</v>
      </c>
    </row>
    <row r="240" spans="12:13">
      <c r="L240" s="24"/>
      <c r="M240" s="24" t="str">
        <f t="shared" si="7"/>
        <v>-- ,</v>
      </c>
    </row>
    <row r="241" spans="12:13">
      <c r="L241" s="24"/>
      <c r="M241" s="24" t="str">
        <f t="shared" si="7"/>
        <v>-- ,</v>
      </c>
    </row>
    <row r="242" spans="12:13">
      <c r="L242" s="24"/>
      <c r="M242" s="24" t="str">
        <f t="shared" si="7"/>
        <v>-- ,</v>
      </c>
    </row>
    <row r="243" spans="12:13">
      <c r="L243" s="24"/>
      <c r="M243" s="24" t="str">
        <f t="shared" si="7"/>
        <v>-- ,</v>
      </c>
    </row>
    <row r="244" spans="12:13">
      <c r="L244" s="24"/>
      <c r="M244" s="24" t="str">
        <f t="shared" si="7"/>
        <v>-- ,</v>
      </c>
    </row>
    <row r="245" spans="12:13">
      <c r="L245" s="24"/>
      <c r="M245" s="24" t="str">
        <f t="shared" si="7"/>
        <v>-- ,</v>
      </c>
    </row>
    <row r="246" spans="12:13">
      <c r="L246" s="24"/>
      <c r="M246" s="24" t="str">
        <f t="shared" si="7"/>
        <v>-- ,</v>
      </c>
    </row>
    <row r="247" spans="12:13">
      <c r="L247" s="24"/>
      <c r="M247" s="24" t="str">
        <f t="shared" si="7"/>
        <v>-- ,</v>
      </c>
    </row>
    <row r="248" spans="12:13">
      <c r="L248" s="24"/>
      <c r="M248" s="24" t="str">
        <f t="shared" si="7"/>
        <v>-- ,</v>
      </c>
    </row>
    <row r="249" spans="12:13">
      <c r="L249" s="24"/>
      <c r="M249" s="24" t="str">
        <f t="shared" si="7"/>
        <v>-- ,</v>
      </c>
    </row>
    <row r="250" spans="12:13">
      <c r="L250" s="24"/>
      <c r="M250" s="24" t="str">
        <f t="shared" si="7"/>
        <v>-- ,</v>
      </c>
    </row>
    <row r="251" spans="12:13">
      <c r="L251" s="24"/>
      <c r="M251" s="24" t="str">
        <f t="shared" si="7"/>
        <v>-- ,</v>
      </c>
    </row>
    <row r="252" spans="12:13">
      <c r="L252" s="24"/>
      <c r="M252" s="24" t="str">
        <f t="shared" si="7"/>
        <v>-- ,</v>
      </c>
    </row>
    <row r="253" spans="12:13">
      <c r="L253" s="24"/>
      <c r="M253" s="24" t="str">
        <f t="shared" si="7"/>
        <v>-- ,</v>
      </c>
    </row>
    <row r="254" spans="12:13">
      <c r="L254" s="24"/>
      <c r="M254" s="24" t="str">
        <f t="shared" si="7"/>
        <v>-- ,</v>
      </c>
    </row>
    <row r="255" spans="12:13">
      <c r="L255" s="24"/>
      <c r="M255" s="24" t="str">
        <f t="shared" si="7"/>
        <v>-- ,</v>
      </c>
    </row>
    <row r="256" spans="12:13">
      <c r="L256" s="24"/>
      <c r="M256" s="24" t="str">
        <f t="shared" si="7"/>
        <v>-- ,</v>
      </c>
    </row>
    <row r="257" spans="12:13">
      <c r="L257" s="24"/>
      <c r="M257" s="24" t="str">
        <f t="shared" si="7"/>
        <v>-- ,</v>
      </c>
    </row>
    <row r="258" spans="12:13">
      <c r="L258" s="24"/>
      <c r="M258" s="24" t="str">
        <f t="shared" si="7"/>
        <v>-- ,</v>
      </c>
    </row>
    <row r="259" spans="12:13">
      <c r="L259" s="24"/>
      <c r="M259" s="24" t="str">
        <f t="shared" si="7"/>
        <v>-- ,</v>
      </c>
    </row>
    <row r="260" spans="12:13">
      <c r="L260" s="24"/>
      <c r="M260" s="24" t="str">
        <f t="shared" si="7"/>
        <v>-- ,</v>
      </c>
    </row>
    <row r="261" spans="12:13">
      <c r="L261" s="24"/>
      <c r="M261" s="24" t="str">
        <f t="shared" si="7"/>
        <v>-- ,</v>
      </c>
    </row>
    <row r="262" spans="12:13">
      <c r="L262" s="24"/>
      <c r="M262" s="24" t="str">
        <f t="shared" si="7"/>
        <v>-- ,</v>
      </c>
    </row>
    <row r="263" spans="12:13">
      <c r="L263" s="24"/>
      <c r="M263" s="24" t="str">
        <f t="shared" si="7"/>
        <v>-- ,</v>
      </c>
    </row>
    <row r="264" spans="12:13">
      <c r="L264" s="24"/>
      <c r="M264" s="24" t="str">
        <f t="shared" si="7"/>
        <v>-- ,</v>
      </c>
    </row>
    <row r="265" spans="12:13">
      <c r="L265" s="24"/>
      <c r="M265" s="24" t="str">
        <f t="shared" si="7"/>
        <v>-- ,</v>
      </c>
    </row>
    <row r="266" spans="12:13">
      <c r="L266" s="24"/>
      <c r="M266" s="24" t="str">
        <f t="shared" si="7"/>
        <v>-- ,</v>
      </c>
    </row>
    <row r="267" spans="12:13">
      <c r="L267" s="24"/>
      <c r="M267" s="24" t="str">
        <f t="shared" si="7"/>
        <v>-- ,</v>
      </c>
    </row>
    <row r="268" spans="12:13">
      <c r="L268" s="24"/>
      <c r="M268" s="24" t="str">
        <f t="shared" si="7"/>
        <v>-- ,</v>
      </c>
    </row>
    <row r="269" spans="12:13">
      <c r="L269" s="24"/>
      <c r="M269" s="24" t="str">
        <f t="shared" si="7"/>
        <v>-- ,</v>
      </c>
    </row>
    <row r="270" spans="12:13">
      <c r="L270" s="24"/>
      <c r="M270" s="24" t="str">
        <f t="shared" si="7"/>
        <v>-- ,</v>
      </c>
    </row>
    <row r="271" spans="12:13">
      <c r="L271" s="24"/>
      <c r="M271" s="24" t="str">
        <f t="shared" si="7"/>
        <v>-- ,</v>
      </c>
    </row>
    <row r="272" spans="12:13">
      <c r="L272" s="24"/>
      <c r="M272" s="24" t="str">
        <f t="shared" si="7"/>
        <v>-- ,</v>
      </c>
    </row>
    <row r="273" spans="12:13">
      <c r="L273" s="24"/>
      <c r="M273" s="24" t="str">
        <f t="shared" si="7"/>
        <v>-- ,</v>
      </c>
    </row>
    <row r="274" spans="12:13">
      <c r="L274" s="24"/>
      <c r="M274" s="24" t="str">
        <f t="shared" si="7"/>
        <v>-- ,</v>
      </c>
    </row>
    <row r="275" spans="12:13">
      <c r="L275" s="24"/>
      <c r="M275" s="24" t="str">
        <f t="shared" si="7"/>
        <v>-- ,</v>
      </c>
    </row>
    <row r="276" spans="12:13">
      <c r="L276" s="24"/>
      <c r="M276" s="24" t="str">
        <f t="shared" si="7"/>
        <v>-- ,</v>
      </c>
    </row>
    <row r="277" spans="12:13">
      <c r="L277" s="24"/>
      <c r="M277" s="24" t="str">
        <f t="shared" si="7"/>
        <v>-- ,</v>
      </c>
    </row>
    <row r="278" spans="12:13">
      <c r="L278" s="24"/>
      <c r="M278" s="24" t="str">
        <f t="shared" si="7"/>
        <v>-- ,</v>
      </c>
    </row>
    <row r="279" spans="12:13">
      <c r="L279" s="24"/>
      <c r="M279" s="24" t="str">
        <f t="shared" si="7"/>
        <v>-- ,</v>
      </c>
    </row>
    <row r="280" spans="12:13">
      <c r="L280" s="24"/>
      <c r="M280" s="24" t="str">
        <f t="shared" si="7"/>
        <v>-- ,</v>
      </c>
    </row>
    <row r="281" spans="12:13">
      <c r="L281" s="24"/>
      <c r="M281" s="24" t="str">
        <f t="shared" si="7"/>
        <v>-- ,</v>
      </c>
    </row>
    <row r="282" spans="12:13">
      <c r="L282" s="24"/>
      <c r="M282" s="24" t="str">
        <f t="shared" si="7"/>
        <v>-- ,</v>
      </c>
    </row>
    <row r="283" spans="12:13">
      <c r="L283" s="24"/>
      <c r="M283" s="24" t="str">
        <f t="shared" si="7"/>
        <v>-- ,</v>
      </c>
    </row>
    <row r="284" spans="12:13">
      <c r="L284" s="24"/>
      <c r="M284" s="24" t="str">
        <f t="shared" si="7"/>
        <v>-- ,</v>
      </c>
    </row>
    <row r="285" spans="12:13">
      <c r="L285" s="24"/>
      <c r="M285" s="24" t="str">
        <f t="shared" si="7"/>
        <v>-- ,</v>
      </c>
    </row>
    <row r="286" spans="12:13">
      <c r="L286" s="24"/>
      <c r="M286" s="24" t="str">
        <f t="shared" si="7"/>
        <v>-- ,</v>
      </c>
    </row>
    <row r="287" spans="12:13">
      <c r="L287" s="24"/>
      <c r="M287" s="24" t="str">
        <f t="shared" si="7"/>
        <v>-- ,</v>
      </c>
    </row>
    <row r="288" spans="12:13">
      <c r="L288" s="24"/>
      <c r="M288" s="24" t="str">
        <f t="shared" si="7"/>
        <v>-- ,</v>
      </c>
    </row>
    <row r="289" spans="12:13">
      <c r="L289" s="24"/>
      <c r="M289" s="24" t="str">
        <f t="shared" si="7"/>
        <v>-- ,</v>
      </c>
    </row>
    <row r="290" spans="12:13">
      <c r="L290" s="24"/>
      <c r="M290" s="24" t="str">
        <f t="shared" si="7"/>
        <v>-- ,</v>
      </c>
    </row>
    <row r="291" spans="12:13">
      <c r="L291" s="24"/>
      <c r="M291" s="24" t="str">
        <f t="shared" ref="M291:M324" si="8">IF(TRIM($B175)="","-- "&amp;$A175&amp;",",IF(LEFT($B175,2)="--","-- "&amp;$A175&amp;",","")&amp;"EXEC sp_addextendedproperty 'MS_Description', '"&amp;TRIM($C175)&amp;IF($K175="","","("&amp;$K175&amp;")")&amp;"', "&amp;REPT(" ",60-LENB(TRIM($C175)&amp;IF($K175="","","("&amp;$K175&amp;")")))&amp;" 'schema', 'dbo', N'table', '"&amp;TRIM($C$3)&amp;"', 'column', '"&amp;TRIM($B175)&amp;"';"&amp;REPT(" ",20-LENB(TRIM($B175)))&amp;"-- 컬럼")</f>
        <v>-- ,</v>
      </c>
    </row>
    <row r="292" spans="12:13">
      <c r="L292" s="24"/>
      <c r="M292" s="24" t="str">
        <f t="shared" si="8"/>
        <v>-- ,</v>
      </c>
    </row>
    <row r="293" spans="12:13">
      <c r="L293" s="24"/>
      <c r="M293" s="24" t="str">
        <f t="shared" si="8"/>
        <v>-- ,</v>
      </c>
    </row>
    <row r="294" spans="12:13">
      <c r="L294" s="24"/>
      <c r="M294" s="24" t="str">
        <f t="shared" si="8"/>
        <v>-- ,</v>
      </c>
    </row>
    <row r="295" spans="12:13">
      <c r="L295" s="24"/>
      <c r="M295" s="24" t="str">
        <f t="shared" si="8"/>
        <v>-- ,</v>
      </c>
    </row>
    <row r="296" spans="12:13">
      <c r="L296" s="24"/>
      <c r="M296" s="24" t="str">
        <f t="shared" si="8"/>
        <v>-- ,</v>
      </c>
    </row>
    <row r="297" spans="12:13">
      <c r="L297" s="24"/>
      <c r="M297" s="24" t="str">
        <f t="shared" si="8"/>
        <v>-- ,</v>
      </c>
    </row>
    <row r="298" spans="12:13">
      <c r="L298" s="24"/>
      <c r="M298" s="24" t="str">
        <f t="shared" si="8"/>
        <v>-- ,</v>
      </c>
    </row>
    <row r="299" spans="12:13">
      <c r="L299" s="24"/>
      <c r="M299" s="24" t="str">
        <f t="shared" si="8"/>
        <v>-- ,</v>
      </c>
    </row>
    <row r="300" spans="12:13">
      <c r="L300" s="24"/>
      <c r="M300" s="24" t="str">
        <f t="shared" si="8"/>
        <v>-- ,</v>
      </c>
    </row>
    <row r="301" spans="12:13">
      <c r="L301" s="24"/>
      <c r="M301" s="24" t="str">
        <f t="shared" si="8"/>
        <v>-- ,</v>
      </c>
    </row>
    <row r="302" spans="12:13">
      <c r="L302" s="24"/>
      <c r="M302" s="24" t="str">
        <f t="shared" si="8"/>
        <v>-- ,</v>
      </c>
    </row>
    <row r="303" spans="12:13">
      <c r="L303" s="24"/>
      <c r="M303" s="24" t="str">
        <f t="shared" si="8"/>
        <v>-- ,</v>
      </c>
    </row>
    <row r="304" spans="12:13">
      <c r="L304" s="24"/>
      <c r="M304" s="24" t="str">
        <f t="shared" si="8"/>
        <v>-- ,</v>
      </c>
    </row>
    <row r="305" spans="12:13">
      <c r="L305" s="24"/>
      <c r="M305" s="24" t="str">
        <f t="shared" si="8"/>
        <v>-- ,</v>
      </c>
    </row>
    <row r="306" spans="12:13">
      <c r="L306" s="24"/>
      <c r="M306" s="24" t="str">
        <f t="shared" si="8"/>
        <v>-- ,</v>
      </c>
    </row>
    <row r="307" spans="12:13">
      <c r="L307" s="24"/>
      <c r="M307" s="24" t="str">
        <f t="shared" si="8"/>
        <v>-- ,</v>
      </c>
    </row>
    <row r="308" spans="12:13">
      <c r="L308" s="24"/>
      <c r="M308" s="24" t="str">
        <f t="shared" si="8"/>
        <v>-- ,</v>
      </c>
    </row>
    <row r="309" spans="12:13">
      <c r="L309" s="24"/>
      <c r="M309" s="24" t="str">
        <f t="shared" si="8"/>
        <v>-- ,</v>
      </c>
    </row>
    <row r="310" spans="12:13">
      <c r="L310" s="24"/>
      <c r="M310" s="24" t="str">
        <f t="shared" si="8"/>
        <v>-- ,</v>
      </c>
    </row>
    <row r="311" spans="12:13">
      <c r="L311" s="24"/>
      <c r="M311" s="24" t="str">
        <f t="shared" si="8"/>
        <v>-- ,</v>
      </c>
    </row>
    <row r="312" spans="12:13">
      <c r="L312" s="24"/>
      <c r="M312" s="24" t="str">
        <f t="shared" si="8"/>
        <v>-- ,</v>
      </c>
    </row>
    <row r="313" spans="12:13">
      <c r="L313" s="24"/>
      <c r="M313" s="24" t="str">
        <f t="shared" si="8"/>
        <v>-- ,</v>
      </c>
    </row>
    <row r="314" spans="12:13">
      <c r="L314" s="24"/>
      <c r="M314" s="24" t="str">
        <f t="shared" si="8"/>
        <v>-- ,</v>
      </c>
    </row>
    <row r="315" spans="12:13">
      <c r="L315" s="24"/>
      <c r="M315" s="24" t="str">
        <f t="shared" si="8"/>
        <v>-- ,</v>
      </c>
    </row>
    <row r="316" spans="12:13">
      <c r="L316" s="24"/>
      <c r="M316" s="24" t="str">
        <f t="shared" si="8"/>
        <v>-- ,</v>
      </c>
    </row>
    <row r="317" spans="12:13">
      <c r="L317" s="24"/>
      <c r="M317" s="24" t="str">
        <f t="shared" si="8"/>
        <v>-- ,</v>
      </c>
    </row>
    <row r="318" spans="12:13">
      <c r="L318" s="24"/>
      <c r="M318" s="24" t="str">
        <f t="shared" si="8"/>
        <v>-- ,</v>
      </c>
    </row>
    <row r="319" spans="12:13">
      <c r="L319" s="24"/>
      <c r="M319" s="24" t="str">
        <f t="shared" si="8"/>
        <v>-- ,</v>
      </c>
    </row>
    <row r="320" spans="12:13">
      <c r="L320" s="24"/>
      <c r="M320" s="24" t="str">
        <f t="shared" si="8"/>
        <v>-- ,</v>
      </c>
    </row>
    <row r="321" spans="12:13">
      <c r="L321" s="24"/>
      <c r="M321" s="24" t="str">
        <f t="shared" si="8"/>
        <v>-- ,</v>
      </c>
    </row>
    <row r="322" spans="12:13">
      <c r="L322" s="24"/>
      <c r="M322" s="24" t="str">
        <f t="shared" si="8"/>
        <v>-- ,</v>
      </c>
    </row>
    <row r="323" spans="12:13">
      <c r="L323" s="24"/>
      <c r="M323" s="24" t="str">
        <f t="shared" si="8"/>
        <v>-- ,</v>
      </c>
    </row>
    <row r="324" spans="12:13">
      <c r="L324" s="24"/>
      <c r="M324" s="24" t="str">
        <f t="shared" si="8"/>
        <v>-- ,</v>
      </c>
    </row>
    <row r="325" spans="12:13">
      <c r="L325" s="24"/>
      <c r="M325" s="20" t="s">
        <v>652</v>
      </c>
    </row>
    <row r="326" spans="12:13">
      <c r="M326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'이력',                                                          'schema', 'dbo', 'table', 'History';                  -- 테이블</v>
      </c>
    </row>
    <row r="328" spans="12:13">
      <c r="M328" s="20" t="s">
        <v>653</v>
      </c>
    </row>
    <row r="329" spans="12:13">
      <c r="M329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'이력',                                                          'schema', 'dbo', 'table', 'History';                  -- 테이블</v>
      </c>
    </row>
    <row r="330" spans="12:13">
      <c r="M330" s="24" t="str">
        <f>IF(TRIM($B214)="","-- "&amp;$A214&amp;",",IF(LEFT($B214,2)="--","-- "&amp;$A214&amp;",","")&amp;"EXEC sp_addextendedproperty 'MS_Description', '"&amp;TRIM($C214)&amp;IF($K214="","","("&amp;$K214&amp;")")&amp;"', "&amp;REPT(" ",60-LENB(TRIM($C214)&amp;IF($K214="","","("&amp;$K214&amp;")")))&amp;" 'schema', 'dbo', N'table', '"&amp;TRIM($C$3)&amp;"', 'column', '"&amp;TRIM($B214)&amp;"';"&amp;REPT(" ",20-LENB(TRIM($B214)))&amp;"-- 컬럼")</f>
        <v>-- ,</v>
      </c>
    </row>
    <row r="331" spans="12:13">
      <c r="M331" s="24" t="str">
        <f t="shared" ref="M331:M394" si="9">IF(TRIM($B215)="","-- "&amp;$A215&amp;",",IF(LEFT($B215,2)="--","-- "&amp;$A215&amp;",","")&amp;"EXEC sp_addextendedproperty 'MS_Description', '"&amp;TRIM($C215)&amp;IF($K215="","","("&amp;$K215&amp;")")&amp;"', "&amp;REPT(" ",60-LENB(TRIM($C215)&amp;IF($K215="","","("&amp;$K215&amp;")")))&amp;" 'schema', 'dbo', N'table', '"&amp;TRIM($C$3)&amp;"', 'column', '"&amp;TRIM($B215)&amp;"';"&amp;REPT(" ",20-LENB(TRIM($B215)))&amp;"-- 컬럼")</f>
        <v>-- ,</v>
      </c>
    </row>
    <row r="332" spans="12:13">
      <c r="M332" s="24" t="str">
        <f t="shared" si="9"/>
        <v>-- ,</v>
      </c>
    </row>
    <row r="333" spans="12:13">
      <c r="M333" s="24" t="str">
        <f t="shared" si="9"/>
        <v>-- ,</v>
      </c>
    </row>
    <row r="334" spans="12:13">
      <c r="M334" s="24" t="str">
        <f t="shared" si="9"/>
        <v>-- ,</v>
      </c>
    </row>
    <row r="335" spans="12:13">
      <c r="M335" s="24" t="str">
        <f t="shared" si="9"/>
        <v>-- ,</v>
      </c>
    </row>
    <row r="336" spans="12:13">
      <c r="M336" s="24" t="str">
        <f t="shared" si="9"/>
        <v>-- ,</v>
      </c>
    </row>
    <row r="337" spans="13:13">
      <c r="M337" s="24" t="str">
        <f t="shared" si="9"/>
        <v>-- ,</v>
      </c>
    </row>
    <row r="338" spans="13:13">
      <c r="M338" s="24" t="str">
        <f t="shared" si="9"/>
        <v>-- ,</v>
      </c>
    </row>
    <row r="339" spans="13:13">
      <c r="M339" s="24" t="str">
        <f t="shared" si="9"/>
        <v>-- ,</v>
      </c>
    </row>
    <row r="340" spans="13:13">
      <c r="M340" s="24" t="str">
        <f t="shared" si="9"/>
        <v>-- ,</v>
      </c>
    </row>
    <row r="341" spans="13:13">
      <c r="M341" s="24" t="str">
        <f t="shared" si="9"/>
        <v>-- ,</v>
      </c>
    </row>
    <row r="342" spans="13:13">
      <c r="M342" s="24" t="str">
        <f t="shared" si="9"/>
        <v>-- ,</v>
      </c>
    </row>
    <row r="343" spans="13:13">
      <c r="M343" s="24" t="str">
        <f t="shared" si="9"/>
        <v>-- ,</v>
      </c>
    </row>
    <row r="344" spans="13:13">
      <c r="M344" s="24" t="str">
        <f t="shared" si="9"/>
        <v>-- ,</v>
      </c>
    </row>
    <row r="345" spans="13:13">
      <c r="M345" s="24" t="str">
        <f t="shared" si="9"/>
        <v>-- ,</v>
      </c>
    </row>
    <row r="346" spans="13:13">
      <c r="M346" s="24" t="str">
        <f t="shared" si="9"/>
        <v>-- ,</v>
      </c>
    </row>
    <row r="347" spans="13:13">
      <c r="M347" s="24" t="str">
        <f t="shared" si="9"/>
        <v>-- ,</v>
      </c>
    </row>
    <row r="348" spans="13:13">
      <c r="M348" s="24" t="str">
        <f t="shared" si="9"/>
        <v>-- ,</v>
      </c>
    </row>
    <row r="349" spans="13:13">
      <c r="M349" s="24" t="str">
        <f t="shared" si="9"/>
        <v>-- ,</v>
      </c>
    </row>
    <row r="350" spans="13:13">
      <c r="M350" s="24" t="str">
        <f t="shared" si="9"/>
        <v>-- ,</v>
      </c>
    </row>
    <row r="351" spans="13:13">
      <c r="M351" s="24" t="str">
        <f t="shared" si="9"/>
        <v>-- ,</v>
      </c>
    </row>
    <row r="352" spans="13:13">
      <c r="M352" s="24" t="str">
        <f t="shared" si="9"/>
        <v>-- ,</v>
      </c>
    </row>
    <row r="353" spans="13:13">
      <c r="M353" s="24" t="str">
        <f t="shared" si="9"/>
        <v>-- ,</v>
      </c>
    </row>
    <row r="354" spans="13:13">
      <c r="M354" s="24" t="str">
        <f t="shared" si="9"/>
        <v>-- ,</v>
      </c>
    </row>
    <row r="355" spans="13:13">
      <c r="M355" s="24" t="str">
        <f t="shared" si="9"/>
        <v>-- ,</v>
      </c>
    </row>
    <row r="356" spans="13:13">
      <c r="M356" s="24" t="str">
        <f t="shared" si="9"/>
        <v>-- ,</v>
      </c>
    </row>
    <row r="357" spans="13:13">
      <c r="M357" s="24" t="str">
        <f t="shared" si="9"/>
        <v>-- ,</v>
      </c>
    </row>
    <row r="358" spans="13:13">
      <c r="M358" s="24" t="str">
        <f t="shared" si="9"/>
        <v>-- ,</v>
      </c>
    </row>
    <row r="359" spans="13:13">
      <c r="M359" s="24" t="str">
        <f t="shared" si="9"/>
        <v>-- ,</v>
      </c>
    </row>
    <row r="360" spans="13:13">
      <c r="M360" s="24" t="str">
        <f t="shared" si="9"/>
        <v>-- ,</v>
      </c>
    </row>
    <row r="361" spans="13:13">
      <c r="M361" s="24" t="str">
        <f t="shared" si="9"/>
        <v>-- ,</v>
      </c>
    </row>
    <row r="362" spans="13:13">
      <c r="M362" s="24" t="str">
        <f t="shared" si="9"/>
        <v>-- ,</v>
      </c>
    </row>
    <row r="363" spans="13:13">
      <c r="M363" s="24" t="str">
        <f t="shared" si="9"/>
        <v>-- ,</v>
      </c>
    </row>
    <row r="364" spans="13:13">
      <c r="M364" s="24" t="str">
        <f t="shared" si="9"/>
        <v>-- ,</v>
      </c>
    </row>
    <row r="365" spans="13:13">
      <c r="M365" s="24" t="str">
        <f t="shared" si="9"/>
        <v>-- ,</v>
      </c>
    </row>
    <row r="366" spans="13:13">
      <c r="M366" s="24" t="str">
        <f t="shared" si="9"/>
        <v>-- ,</v>
      </c>
    </row>
    <row r="367" spans="13:13">
      <c r="M367" s="24" t="str">
        <f t="shared" si="9"/>
        <v>-- ,</v>
      </c>
    </row>
    <row r="368" spans="13:13">
      <c r="M368" s="24" t="str">
        <f t="shared" si="9"/>
        <v>-- ,</v>
      </c>
    </row>
    <row r="369" spans="13:13">
      <c r="M369" s="24" t="str">
        <f t="shared" si="9"/>
        <v>-- ,</v>
      </c>
    </row>
    <row r="370" spans="13:13">
      <c r="M370" s="24" t="str">
        <f t="shared" si="9"/>
        <v>-- ,</v>
      </c>
    </row>
    <row r="371" spans="13:13">
      <c r="M371" s="24" t="str">
        <f t="shared" si="9"/>
        <v>-- ,</v>
      </c>
    </row>
    <row r="372" spans="13:13">
      <c r="M372" s="24" t="str">
        <f t="shared" si="9"/>
        <v>-- ,</v>
      </c>
    </row>
    <row r="373" spans="13:13">
      <c r="M373" s="24" t="str">
        <f t="shared" si="9"/>
        <v>-- ,</v>
      </c>
    </row>
    <row r="374" spans="13:13">
      <c r="M374" s="24" t="str">
        <f t="shared" si="9"/>
        <v>-- ,</v>
      </c>
    </row>
    <row r="375" spans="13:13">
      <c r="M375" s="24" t="str">
        <f t="shared" si="9"/>
        <v>-- ,</v>
      </c>
    </row>
    <row r="376" spans="13:13">
      <c r="M376" s="24" t="str">
        <f t="shared" si="9"/>
        <v>-- ,</v>
      </c>
    </row>
    <row r="377" spans="13:13">
      <c r="M377" s="24" t="str">
        <f t="shared" si="9"/>
        <v>-- ,</v>
      </c>
    </row>
    <row r="378" spans="13:13">
      <c r="M378" s="24" t="str">
        <f t="shared" si="9"/>
        <v>-- ,</v>
      </c>
    </row>
    <row r="379" spans="13:13">
      <c r="M379" s="24" t="str">
        <f t="shared" si="9"/>
        <v>-- ,</v>
      </c>
    </row>
    <row r="380" spans="13:13">
      <c r="M380" s="24" t="str">
        <f t="shared" si="9"/>
        <v>-- ,</v>
      </c>
    </row>
    <row r="381" spans="13:13">
      <c r="M381" s="24" t="str">
        <f t="shared" si="9"/>
        <v>-- ,</v>
      </c>
    </row>
    <row r="382" spans="13:13">
      <c r="M382" s="24" t="str">
        <f t="shared" si="9"/>
        <v>-- ,</v>
      </c>
    </row>
    <row r="383" spans="13:13">
      <c r="M383" s="24" t="str">
        <f t="shared" si="9"/>
        <v>-- ,</v>
      </c>
    </row>
    <row r="384" spans="13:13">
      <c r="M384" s="24" t="str">
        <f t="shared" si="9"/>
        <v>-- ,</v>
      </c>
    </row>
    <row r="385" spans="13:13">
      <c r="M385" s="24" t="str">
        <f t="shared" si="9"/>
        <v>-- ,</v>
      </c>
    </row>
    <row r="386" spans="13:13">
      <c r="M386" s="24" t="str">
        <f t="shared" si="9"/>
        <v>-- ,</v>
      </c>
    </row>
    <row r="387" spans="13:13">
      <c r="M387" s="24" t="str">
        <f t="shared" si="9"/>
        <v>-- ,</v>
      </c>
    </row>
    <row r="388" spans="13:13">
      <c r="M388" s="24" t="str">
        <f t="shared" si="9"/>
        <v>-- ,</v>
      </c>
    </row>
    <row r="389" spans="13:13">
      <c r="M389" s="24" t="str">
        <f t="shared" si="9"/>
        <v>-- ,</v>
      </c>
    </row>
    <row r="390" spans="13:13">
      <c r="M390" s="24" t="str">
        <f t="shared" si="9"/>
        <v>-- ,</v>
      </c>
    </row>
    <row r="391" spans="13:13">
      <c r="M391" s="24" t="str">
        <f t="shared" si="9"/>
        <v>-- ,</v>
      </c>
    </row>
    <row r="392" spans="13:13">
      <c r="M392" s="24" t="str">
        <f t="shared" si="9"/>
        <v>-- ,</v>
      </c>
    </row>
    <row r="393" spans="13:13">
      <c r="M393" s="24" t="str">
        <f t="shared" si="9"/>
        <v>-- ,</v>
      </c>
    </row>
    <row r="394" spans="13:13">
      <c r="M394" s="24" t="str">
        <f t="shared" si="9"/>
        <v>-- ,</v>
      </c>
    </row>
    <row r="395" spans="13:13">
      <c r="M395" s="24" t="str">
        <f t="shared" ref="M395:M429" si="10">IF(TRIM($B279)="","-- "&amp;$A279&amp;",",IF(LEFT($B279,2)="--","-- "&amp;$A279&amp;",","")&amp;"EXEC sp_addextendedproperty 'MS_Description', '"&amp;TRIM($C279)&amp;IF($K279="","","("&amp;$K279&amp;")")&amp;"', "&amp;REPT(" ",60-LENB(TRIM($C279)&amp;IF($K279="","","("&amp;$K279&amp;")")))&amp;" 'schema', 'dbo', N'table', '"&amp;TRIM($C$3)&amp;"', 'column', '"&amp;TRIM($B279)&amp;"';"&amp;REPT(" ",20-LENB(TRIM($B279)))&amp;"-- 컬럼")</f>
        <v>-- ,</v>
      </c>
    </row>
    <row r="396" spans="13:13">
      <c r="M396" s="24" t="str">
        <f t="shared" si="10"/>
        <v>-- ,</v>
      </c>
    </row>
    <row r="397" spans="13:13">
      <c r="M397" s="24" t="str">
        <f t="shared" si="10"/>
        <v>-- ,</v>
      </c>
    </row>
    <row r="398" spans="13:13">
      <c r="M398" s="24" t="str">
        <f t="shared" si="10"/>
        <v>-- ,</v>
      </c>
    </row>
    <row r="399" spans="13:13">
      <c r="M399" s="24" t="str">
        <f t="shared" si="10"/>
        <v>-- ,</v>
      </c>
    </row>
    <row r="400" spans="13:13">
      <c r="M400" s="24" t="str">
        <f t="shared" si="10"/>
        <v>-- ,</v>
      </c>
    </row>
    <row r="401" spans="13:13">
      <c r="M401" s="24" t="str">
        <f t="shared" si="10"/>
        <v>-- ,</v>
      </c>
    </row>
    <row r="402" spans="13:13">
      <c r="M402" s="24" t="str">
        <f t="shared" si="10"/>
        <v>-- ,</v>
      </c>
    </row>
    <row r="403" spans="13:13">
      <c r="M403" s="24" t="str">
        <f t="shared" si="10"/>
        <v>-- ,</v>
      </c>
    </row>
    <row r="404" spans="13:13">
      <c r="M404" s="24" t="str">
        <f t="shared" si="10"/>
        <v>-- ,</v>
      </c>
    </row>
    <row r="405" spans="13:13">
      <c r="M405" s="24" t="str">
        <f t="shared" si="10"/>
        <v>-- ,</v>
      </c>
    </row>
    <row r="406" spans="13:13">
      <c r="M406" s="24" t="str">
        <f t="shared" si="10"/>
        <v>-- ,</v>
      </c>
    </row>
    <row r="407" spans="13:13">
      <c r="M407" s="24" t="str">
        <f t="shared" si="10"/>
        <v>-- ,</v>
      </c>
    </row>
    <row r="408" spans="13:13">
      <c r="M408" s="24" t="str">
        <f t="shared" si="10"/>
        <v>-- ,</v>
      </c>
    </row>
    <row r="409" spans="13:13">
      <c r="M409" s="24" t="str">
        <f t="shared" si="10"/>
        <v>-- ,</v>
      </c>
    </row>
    <row r="410" spans="13:13">
      <c r="M410" s="24" t="str">
        <f t="shared" si="10"/>
        <v>-- ,</v>
      </c>
    </row>
    <row r="411" spans="13:13">
      <c r="M411" s="24" t="str">
        <f t="shared" si="10"/>
        <v>-- ,</v>
      </c>
    </row>
    <row r="412" spans="13:13">
      <c r="M412" s="24" t="str">
        <f t="shared" si="10"/>
        <v>-- ,</v>
      </c>
    </row>
    <row r="413" spans="13:13">
      <c r="M413" s="24" t="str">
        <f t="shared" si="10"/>
        <v>-- ,</v>
      </c>
    </row>
    <row r="414" spans="13:13">
      <c r="M414" s="24" t="str">
        <f t="shared" si="10"/>
        <v>-- ,</v>
      </c>
    </row>
    <row r="415" spans="13:13">
      <c r="M415" s="24" t="str">
        <f t="shared" si="10"/>
        <v>-- ,</v>
      </c>
    </row>
    <row r="416" spans="13:13">
      <c r="M416" s="24" t="str">
        <f t="shared" si="10"/>
        <v>-- ,</v>
      </c>
    </row>
    <row r="417" spans="13:13">
      <c r="M417" s="24" t="str">
        <f t="shared" si="10"/>
        <v>-- ,</v>
      </c>
    </row>
    <row r="418" spans="13:13">
      <c r="M418" s="24" t="str">
        <f t="shared" si="10"/>
        <v>-- ,</v>
      </c>
    </row>
    <row r="419" spans="13:13">
      <c r="M419" s="24" t="str">
        <f t="shared" si="10"/>
        <v>-- ,</v>
      </c>
    </row>
    <row r="420" spans="13:13">
      <c r="M420" s="24" t="str">
        <f t="shared" si="10"/>
        <v>-- ,</v>
      </c>
    </row>
    <row r="421" spans="13:13">
      <c r="M421" s="24" t="str">
        <f t="shared" si="10"/>
        <v>-- ,</v>
      </c>
    </row>
    <row r="422" spans="13:13">
      <c r="M422" s="24" t="str">
        <f t="shared" si="10"/>
        <v>-- ,</v>
      </c>
    </row>
    <row r="423" spans="13:13">
      <c r="M423" s="24" t="str">
        <f t="shared" si="10"/>
        <v>-- ,</v>
      </c>
    </row>
    <row r="424" spans="13:13">
      <c r="M424" s="24" t="str">
        <f t="shared" si="10"/>
        <v>-- ,</v>
      </c>
    </row>
    <row r="425" spans="13:13">
      <c r="M425" s="24" t="str">
        <f t="shared" si="10"/>
        <v>-- ,</v>
      </c>
    </row>
    <row r="426" spans="13:13">
      <c r="M426" s="24" t="str">
        <f t="shared" si="10"/>
        <v>-- ,</v>
      </c>
    </row>
    <row r="427" spans="13:13">
      <c r="M427" s="24" t="str">
        <f t="shared" si="10"/>
        <v>-- ,</v>
      </c>
    </row>
    <row r="428" spans="13:13">
      <c r="M428" s="24" t="str">
        <f t="shared" si="10"/>
        <v>-- ,</v>
      </c>
    </row>
    <row r="429" spans="13:13">
      <c r="M429" s="24" t="str">
        <f t="shared" si="10"/>
        <v>-- ,</v>
      </c>
    </row>
    <row r="430" spans="13:13">
      <c r="M430" s="20" t="s">
        <v>654</v>
      </c>
    </row>
    <row r="431" spans="13:13">
      <c r="M431" s="24" t="str">
        <f>IF(TRIM($B315)="","-- "&amp;$A315&amp;",",IF(LEFT($B315,2)="--","-- "&amp;$A315&amp;",","")&amp;"EXEC sp_addextendedproperty 'MS_Description', '"&amp;TRIM($C315)&amp;IF($K315="","","("&amp;$K315&amp;")")&amp;"', "&amp;REPT(" ",60-LENB(TRIM($C315)&amp;IF($K315="","","("&amp;$K315&amp;")")))&amp;" 'schema', 'dbo', N'table', '"&amp;TRIM($C$3)&amp;"', 'column', '"&amp;TRIM($B315)&amp;"';"&amp;REPT(" ",20-LENB(TRIM($B315)))&amp;"-- 컬럼")</f>
        <v>-- ,</v>
      </c>
    </row>
    <row r="432" spans="13:13">
      <c r="M432" s="24" t="str">
        <f t="shared" ref="M432:M495" si="11">IF(TRIM($B316)="","-- "&amp;$A316&amp;",",IF(LEFT($B316,2)="--","-- "&amp;$A316&amp;",","")&amp;"EXEC sp_addextendedproperty 'MS_Description', '"&amp;TRIM($C316)&amp;IF($K316="","","("&amp;$K316&amp;")")&amp;"', "&amp;REPT(" ",60-LENB(TRIM($C316)&amp;IF($K316="","","("&amp;$K316&amp;")")))&amp;" 'schema', 'dbo', N'table', '"&amp;TRIM($C$3)&amp;"', 'column', '"&amp;TRIM($B316)&amp;"';"&amp;REPT(" ",20-LENB(TRIM($B316)))&amp;"-- 컬럼")</f>
        <v>-- ,</v>
      </c>
    </row>
    <row r="433" spans="13:13">
      <c r="M433" s="24" t="str">
        <f t="shared" si="11"/>
        <v>-- ,</v>
      </c>
    </row>
    <row r="434" spans="13:13">
      <c r="M434" s="24" t="str">
        <f t="shared" si="11"/>
        <v>-- ,</v>
      </c>
    </row>
    <row r="435" spans="13:13">
      <c r="M435" s="24" t="str">
        <f t="shared" si="11"/>
        <v>-- ,</v>
      </c>
    </row>
    <row r="436" spans="13:13">
      <c r="M436" s="24" t="str">
        <f t="shared" si="11"/>
        <v>-- ,</v>
      </c>
    </row>
    <row r="437" spans="13:13">
      <c r="M437" s="24" t="str">
        <f t="shared" si="11"/>
        <v>-- ,</v>
      </c>
    </row>
    <row r="438" spans="13:13">
      <c r="M438" s="24" t="str">
        <f t="shared" si="11"/>
        <v>-- ,</v>
      </c>
    </row>
    <row r="439" spans="13:13">
      <c r="M439" s="24" t="str">
        <f t="shared" si="11"/>
        <v>-- ,</v>
      </c>
    </row>
    <row r="440" spans="13:13">
      <c r="M440" s="24" t="str">
        <f t="shared" si="11"/>
        <v>-- ,</v>
      </c>
    </row>
    <row r="441" spans="13:13">
      <c r="M441" s="24" t="str">
        <f t="shared" si="11"/>
        <v>-- ,</v>
      </c>
    </row>
    <row r="442" spans="13:13">
      <c r="M442" s="24" t="str">
        <f t="shared" si="11"/>
        <v>-- ,</v>
      </c>
    </row>
    <row r="443" spans="13:13">
      <c r="M443" s="24" t="str">
        <f t="shared" si="11"/>
        <v>-- ,</v>
      </c>
    </row>
    <row r="444" spans="13:13">
      <c r="M444" s="24" t="str">
        <f t="shared" si="11"/>
        <v>-- ,</v>
      </c>
    </row>
    <row r="445" spans="13:13">
      <c r="M445" s="24" t="str">
        <f t="shared" si="11"/>
        <v>-- ,</v>
      </c>
    </row>
    <row r="446" spans="13:13">
      <c r="M446" s="24" t="str">
        <f t="shared" si="11"/>
        <v>-- ,</v>
      </c>
    </row>
    <row r="447" spans="13:13">
      <c r="M447" s="24" t="str">
        <f t="shared" si="11"/>
        <v>-- ,</v>
      </c>
    </row>
    <row r="448" spans="13:13">
      <c r="M448" s="24" t="str">
        <f t="shared" si="11"/>
        <v>-- ,</v>
      </c>
    </row>
    <row r="449" spans="13:13">
      <c r="M449" s="24" t="str">
        <f t="shared" si="11"/>
        <v>-- ,</v>
      </c>
    </row>
    <row r="450" spans="13:13">
      <c r="M450" s="24" t="str">
        <f t="shared" si="11"/>
        <v>-- ,</v>
      </c>
    </row>
    <row r="451" spans="13:13">
      <c r="M451" s="24" t="str">
        <f t="shared" si="11"/>
        <v>-- ,</v>
      </c>
    </row>
    <row r="452" spans="13:13">
      <c r="M452" s="24" t="str">
        <f t="shared" si="11"/>
        <v>-- ,</v>
      </c>
    </row>
    <row r="453" spans="13:13">
      <c r="M453" s="24" t="str">
        <f t="shared" si="11"/>
        <v>-- ,</v>
      </c>
    </row>
    <row r="454" spans="13:13">
      <c r="M454" s="24" t="str">
        <f t="shared" si="11"/>
        <v>-- ,</v>
      </c>
    </row>
    <row r="455" spans="13:13">
      <c r="M455" s="24" t="str">
        <f t="shared" si="11"/>
        <v>-- ,</v>
      </c>
    </row>
    <row r="456" spans="13:13">
      <c r="M456" s="24" t="str">
        <f t="shared" si="11"/>
        <v>-- ,</v>
      </c>
    </row>
    <row r="457" spans="13:13">
      <c r="M457" s="24" t="str">
        <f t="shared" si="11"/>
        <v>-- ,</v>
      </c>
    </row>
    <row r="458" spans="13:13">
      <c r="M458" s="24" t="str">
        <f t="shared" si="11"/>
        <v>-- ,</v>
      </c>
    </row>
    <row r="459" spans="13:13">
      <c r="M459" s="24" t="str">
        <f t="shared" si="11"/>
        <v>-- ,</v>
      </c>
    </row>
    <row r="460" spans="13:13">
      <c r="M460" s="24" t="str">
        <f t="shared" si="11"/>
        <v>-- ,</v>
      </c>
    </row>
    <row r="461" spans="13:13">
      <c r="M461" s="24" t="str">
        <f t="shared" si="11"/>
        <v>-- ,</v>
      </c>
    </row>
    <row r="462" spans="13:13">
      <c r="M462" s="24" t="str">
        <f t="shared" si="11"/>
        <v>-- ,</v>
      </c>
    </row>
    <row r="463" spans="13:13">
      <c r="M463" s="24" t="str">
        <f t="shared" si="11"/>
        <v>-- ,</v>
      </c>
    </row>
    <row r="464" spans="13:13">
      <c r="M464" s="24" t="str">
        <f t="shared" si="11"/>
        <v>-- ,</v>
      </c>
    </row>
    <row r="465" spans="13:13">
      <c r="M465" s="24" t="str">
        <f t="shared" si="11"/>
        <v>-- ,</v>
      </c>
    </row>
    <row r="466" spans="13:13">
      <c r="M466" s="24" t="str">
        <f t="shared" si="11"/>
        <v>-- ,</v>
      </c>
    </row>
    <row r="467" spans="13:13">
      <c r="M467" s="24" t="str">
        <f t="shared" si="11"/>
        <v>-- ,</v>
      </c>
    </row>
    <row r="468" spans="13:13">
      <c r="M468" s="24" t="str">
        <f t="shared" si="11"/>
        <v>-- ,</v>
      </c>
    </row>
    <row r="469" spans="13:13">
      <c r="M469" s="24" t="str">
        <f t="shared" si="11"/>
        <v>-- ,</v>
      </c>
    </row>
    <row r="470" spans="13:13">
      <c r="M470" s="24" t="str">
        <f t="shared" si="11"/>
        <v>-- ,</v>
      </c>
    </row>
    <row r="471" spans="13:13">
      <c r="M471" s="24" t="str">
        <f t="shared" si="11"/>
        <v>-- ,</v>
      </c>
    </row>
    <row r="472" spans="13:13">
      <c r="M472" s="24" t="str">
        <f t="shared" si="11"/>
        <v>-- ,</v>
      </c>
    </row>
    <row r="473" spans="13:13">
      <c r="M473" s="24" t="str">
        <f t="shared" si="11"/>
        <v>-- ,</v>
      </c>
    </row>
    <row r="474" spans="13:13">
      <c r="M474" s="24" t="str">
        <f t="shared" si="11"/>
        <v>-- ,</v>
      </c>
    </row>
    <row r="475" spans="13:13">
      <c r="M475" s="24" t="str">
        <f t="shared" si="11"/>
        <v>-- ,</v>
      </c>
    </row>
    <row r="476" spans="13:13">
      <c r="M476" s="24" t="str">
        <f t="shared" si="11"/>
        <v>-- ,</v>
      </c>
    </row>
    <row r="477" spans="13:13">
      <c r="M477" s="24" t="str">
        <f t="shared" si="11"/>
        <v>-- ,</v>
      </c>
    </row>
    <row r="478" spans="13:13">
      <c r="M478" s="24" t="str">
        <f t="shared" si="11"/>
        <v>-- ,</v>
      </c>
    </row>
    <row r="479" spans="13:13">
      <c r="M479" s="24" t="str">
        <f t="shared" si="11"/>
        <v>-- ,</v>
      </c>
    </row>
    <row r="480" spans="13:13">
      <c r="M480" s="24" t="str">
        <f t="shared" si="11"/>
        <v>-- ,</v>
      </c>
    </row>
    <row r="481" spans="13:13">
      <c r="M481" s="24" t="str">
        <f t="shared" si="11"/>
        <v>-- ,</v>
      </c>
    </row>
    <row r="482" spans="13:13">
      <c r="M482" s="24" t="str">
        <f t="shared" si="11"/>
        <v>-- ,</v>
      </c>
    </row>
    <row r="483" spans="13:13">
      <c r="M483" s="24" t="str">
        <f t="shared" si="11"/>
        <v>-- ,</v>
      </c>
    </row>
    <row r="484" spans="13:13">
      <c r="M484" s="24" t="str">
        <f t="shared" si="11"/>
        <v>-- ,</v>
      </c>
    </row>
    <row r="485" spans="13:13">
      <c r="M485" s="24" t="str">
        <f t="shared" si="11"/>
        <v>-- ,</v>
      </c>
    </row>
    <row r="486" spans="13:13">
      <c r="M486" s="24" t="str">
        <f t="shared" si="11"/>
        <v>-- ,</v>
      </c>
    </row>
    <row r="487" spans="13:13">
      <c r="M487" s="24" t="str">
        <f t="shared" si="11"/>
        <v>-- ,</v>
      </c>
    </row>
    <row r="488" spans="13:13">
      <c r="M488" s="24" t="str">
        <f t="shared" si="11"/>
        <v>-- ,</v>
      </c>
    </row>
    <row r="489" spans="13:13">
      <c r="M489" s="24" t="str">
        <f t="shared" si="11"/>
        <v>-- ,</v>
      </c>
    </row>
    <row r="490" spans="13:13">
      <c r="M490" s="24" t="str">
        <f t="shared" si="11"/>
        <v>-- ,</v>
      </c>
    </row>
    <row r="491" spans="13:13">
      <c r="M491" s="24" t="str">
        <f t="shared" si="11"/>
        <v>-- ,</v>
      </c>
    </row>
    <row r="492" spans="13:13">
      <c r="M492" s="24" t="str">
        <f t="shared" si="11"/>
        <v>-- ,</v>
      </c>
    </row>
    <row r="493" spans="13:13">
      <c r="M493" s="24" t="str">
        <f t="shared" si="11"/>
        <v>-- ,</v>
      </c>
    </row>
    <row r="494" spans="13:13">
      <c r="M494" s="24" t="str">
        <f t="shared" si="11"/>
        <v>-- ,</v>
      </c>
    </row>
    <row r="495" spans="13:13">
      <c r="M495" s="24" t="str">
        <f t="shared" si="11"/>
        <v>-- ,</v>
      </c>
    </row>
    <row r="496" spans="13:13">
      <c r="M496" s="24" t="str">
        <f t="shared" ref="M496:M530" si="12">IF(TRIM($B380)="","-- "&amp;$A380&amp;",",IF(LEFT($B380,2)="--","-- "&amp;$A380&amp;",","")&amp;"EXEC sp_addextendedproperty 'MS_Description', '"&amp;TRIM($C380)&amp;IF($K380="","","("&amp;$K380&amp;")")&amp;"', "&amp;REPT(" ",60-LENB(TRIM($C380)&amp;IF($K380="","","("&amp;$K380&amp;")")))&amp;" 'schema', 'dbo', N'table', '"&amp;TRIM($C$3)&amp;"', 'column', '"&amp;TRIM($B380)&amp;"';"&amp;REPT(" ",20-LENB(TRIM($B380)))&amp;"-- 컬럼")</f>
        <v>-- ,</v>
      </c>
    </row>
    <row r="497" spans="13:13">
      <c r="M497" s="24" t="str">
        <f t="shared" si="12"/>
        <v>-- ,</v>
      </c>
    </row>
    <row r="498" spans="13:13">
      <c r="M498" s="24" t="str">
        <f t="shared" si="12"/>
        <v>-- ,</v>
      </c>
    </row>
    <row r="499" spans="13:13">
      <c r="M499" s="24" t="str">
        <f t="shared" si="12"/>
        <v>-- ,</v>
      </c>
    </row>
    <row r="500" spans="13:13">
      <c r="M500" s="24" t="str">
        <f t="shared" si="12"/>
        <v>-- ,</v>
      </c>
    </row>
    <row r="501" spans="13:13">
      <c r="M501" s="24" t="str">
        <f t="shared" si="12"/>
        <v>-- ,</v>
      </c>
    </row>
    <row r="502" spans="13:13">
      <c r="M502" s="24" t="str">
        <f t="shared" si="12"/>
        <v>-- ,</v>
      </c>
    </row>
    <row r="503" spans="13:13">
      <c r="M503" s="24" t="str">
        <f t="shared" si="12"/>
        <v>-- ,</v>
      </c>
    </row>
    <row r="504" spans="13:13">
      <c r="M504" s="24" t="str">
        <f t="shared" si="12"/>
        <v>-- ,</v>
      </c>
    </row>
    <row r="505" spans="13:13">
      <c r="M505" s="24" t="str">
        <f t="shared" si="12"/>
        <v>-- ,</v>
      </c>
    </row>
    <row r="506" spans="13:13">
      <c r="M506" s="24" t="str">
        <f t="shared" si="12"/>
        <v>-- ,</v>
      </c>
    </row>
    <row r="507" spans="13:13">
      <c r="M507" s="24" t="str">
        <f t="shared" si="12"/>
        <v>-- ,</v>
      </c>
    </row>
    <row r="508" spans="13:13">
      <c r="M508" s="24" t="str">
        <f t="shared" si="12"/>
        <v>-- ,</v>
      </c>
    </row>
    <row r="509" spans="13:13">
      <c r="M509" s="24" t="str">
        <f t="shared" si="12"/>
        <v>-- ,</v>
      </c>
    </row>
    <row r="510" spans="13:13">
      <c r="M510" s="24" t="str">
        <f t="shared" si="12"/>
        <v>-- ,</v>
      </c>
    </row>
    <row r="511" spans="13:13">
      <c r="M511" s="24" t="str">
        <f t="shared" si="12"/>
        <v>-- ,</v>
      </c>
    </row>
    <row r="512" spans="13:13">
      <c r="M512" s="24" t="str">
        <f t="shared" si="12"/>
        <v>-- ,</v>
      </c>
    </row>
    <row r="513" spans="13:13">
      <c r="M513" s="24" t="str">
        <f t="shared" si="12"/>
        <v>-- ,</v>
      </c>
    </row>
    <row r="514" spans="13:13">
      <c r="M514" s="24" t="str">
        <f t="shared" si="12"/>
        <v>-- ,</v>
      </c>
    </row>
    <row r="515" spans="13:13">
      <c r="M515" s="24" t="str">
        <f t="shared" si="12"/>
        <v>-- ,</v>
      </c>
    </row>
    <row r="516" spans="13:13">
      <c r="M516" s="24" t="str">
        <f t="shared" si="12"/>
        <v>-- ,</v>
      </c>
    </row>
    <row r="517" spans="13:13">
      <c r="M517" s="24" t="str">
        <f t="shared" si="12"/>
        <v>-- ,</v>
      </c>
    </row>
    <row r="518" spans="13:13">
      <c r="M518" s="24" t="str">
        <f t="shared" si="12"/>
        <v>-- ,</v>
      </c>
    </row>
    <row r="519" spans="13:13">
      <c r="M519" s="24" t="str">
        <f t="shared" si="12"/>
        <v>-- ,</v>
      </c>
    </row>
    <row r="520" spans="13:13">
      <c r="M520" s="24" t="str">
        <f t="shared" si="12"/>
        <v>-- ,</v>
      </c>
    </row>
    <row r="521" spans="13:13">
      <c r="M521" s="24" t="str">
        <f t="shared" si="12"/>
        <v>-- ,</v>
      </c>
    </row>
    <row r="522" spans="13:13">
      <c r="M522" s="24" t="str">
        <f t="shared" si="12"/>
        <v>-- ,</v>
      </c>
    </row>
    <row r="523" spans="13:13">
      <c r="M523" s="24" t="str">
        <f t="shared" si="12"/>
        <v>-- ,</v>
      </c>
    </row>
    <row r="524" spans="13:13">
      <c r="M524" s="24" t="str">
        <f t="shared" si="12"/>
        <v>-- ,</v>
      </c>
    </row>
    <row r="525" spans="13:13">
      <c r="M525" s="24" t="str">
        <f t="shared" si="12"/>
        <v>-- ,</v>
      </c>
    </row>
    <row r="526" spans="13:13">
      <c r="M526" s="24" t="str">
        <f t="shared" si="12"/>
        <v>-- ,</v>
      </c>
    </row>
    <row r="527" spans="13:13">
      <c r="M527" s="24" t="str">
        <f t="shared" si="12"/>
        <v>-- ,</v>
      </c>
    </row>
    <row r="528" spans="13:13">
      <c r="M528" s="24" t="str">
        <f t="shared" si="12"/>
        <v>-- ,</v>
      </c>
    </row>
    <row r="529" spans="13:13">
      <c r="M529" s="24" t="str">
        <f t="shared" si="12"/>
        <v>-- ,</v>
      </c>
    </row>
    <row r="530" spans="13:13">
      <c r="M530" s="24" t="str">
        <f t="shared" si="12"/>
        <v>-- ,</v>
      </c>
    </row>
    <row r="531" spans="13:13">
      <c r="M531" s="20" t="s">
        <v>655</v>
      </c>
    </row>
    <row r="533" spans="13:13">
      <c r="M533" s="20" t="s">
        <v>656</v>
      </c>
    </row>
  </sheetData>
  <mergeCells count="12">
    <mergeCell ref="A4:B4"/>
    <mergeCell ref="C4:K4"/>
    <mergeCell ref="A5:B5"/>
    <mergeCell ref="D5:E5"/>
    <mergeCell ref="F5:G5"/>
    <mergeCell ref="A1:K1"/>
    <mergeCell ref="A2:B2"/>
    <mergeCell ref="C2:F2"/>
    <mergeCell ref="H2:I2"/>
    <mergeCell ref="A3:B3"/>
    <mergeCell ref="D3:F3"/>
    <mergeCell ref="H3:I3"/>
  </mergeCells>
  <phoneticPr fontId="6" type="noConversion"/>
  <pageMargins left="0.39370078740157483" right="0.39370078740157483" top="0.78740157480314965" bottom="0.39370078740157483" header="0" footer="0"/>
  <pageSetup paperSize="9" scale="93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>
    <tabColor rgb="FFFFFF00"/>
  </sheetPr>
  <dimension ref="A1:V533"/>
  <sheetViews>
    <sheetView showZeros="0" view="pageBreakPreview" zoomScaleNormal="100" zoomScaleSheetLayoutView="100" workbookViewId="0">
      <pane xSplit="1" ySplit="6" topLeftCell="B7" activePane="bottomRight" state="frozen"/>
      <selection activeCell="C25" sqref="C25"/>
      <selection pane="topRight" activeCell="C25" sqref="C25"/>
      <selection pane="bottomLeft" activeCell="C25" sqref="C25"/>
      <selection pane="bottomRight" activeCell="B17" sqref="B17:K30"/>
    </sheetView>
  </sheetViews>
  <sheetFormatPr defaultColWidth="9.375" defaultRowHeight="10.8"/>
  <cols>
    <col min="1" max="1" width="4" style="20" bestFit="1" customWidth="1"/>
    <col min="2" max="2" width="13.375" style="20" customWidth="1"/>
    <col min="3" max="3" width="16.5" style="20" customWidth="1"/>
    <col min="4" max="4" width="13.375" style="28" bestFit="1" customWidth="1"/>
    <col min="5" max="5" width="6" style="28" bestFit="1" customWidth="1"/>
    <col min="6" max="7" width="8" style="20" bestFit="1" customWidth="1"/>
    <col min="8" max="8" width="10" style="20" bestFit="1" customWidth="1"/>
    <col min="9" max="10" width="9" style="20" bestFit="1" customWidth="1"/>
    <col min="11" max="11" width="29" style="20" customWidth="1"/>
    <col min="12" max="12" width="11" style="20" bestFit="1" customWidth="1"/>
    <col min="13" max="13" width="31.375" style="20" customWidth="1"/>
    <col min="14" max="16384" width="9.375" style="20"/>
  </cols>
  <sheetData>
    <row r="1" spans="1:22" ht="26.25" customHeight="1">
      <c r="A1" s="142" t="s">
        <v>24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2" spans="1:22">
      <c r="A2" s="135" t="s">
        <v>7</v>
      </c>
      <c r="B2" s="136"/>
      <c r="C2" s="143" t="str">
        <f>시스템정보!B2</f>
        <v>일대일거래APP</v>
      </c>
      <c r="D2" s="144"/>
      <c r="E2" s="144"/>
      <c r="F2" s="145"/>
      <c r="G2" s="96" t="s">
        <v>9</v>
      </c>
      <c r="H2" s="146" t="s">
        <v>247</v>
      </c>
      <c r="I2" s="147"/>
      <c r="J2" s="96" t="s">
        <v>11</v>
      </c>
      <c r="K2" s="59" t="s">
        <v>662</v>
      </c>
    </row>
    <row r="3" spans="1:22" ht="13.2">
      <c r="A3" s="135" t="s">
        <v>8</v>
      </c>
      <c r="B3" s="136"/>
      <c r="C3" s="32" t="s">
        <v>743</v>
      </c>
      <c r="D3" s="146" t="s">
        <v>742</v>
      </c>
      <c r="E3" s="148"/>
      <c r="F3" s="147"/>
      <c r="G3" s="96" t="s">
        <v>10</v>
      </c>
      <c r="H3" s="146" t="s">
        <v>247</v>
      </c>
      <c r="I3" s="147"/>
      <c r="J3" s="96" t="s">
        <v>18</v>
      </c>
      <c r="K3" s="59" t="s">
        <v>662</v>
      </c>
      <c r="M3" s="22"/>
    </row>
    <row r="4" spans="1:22" ht="13.2">
      <c r="A4" s="135" t="s">
        <v>6</v>
      </c>
      <c r="B4" s="136"/>
      <c r="C4" s="137" t="s">
        <v>744</v>
      </c>
      <c r="D4" s="137"/>
      <c r="E4" s="137"/>
      <c r="F4" s="137"/>
      <c r="G4" s="137"/>
      <c r="H4" s="137"/>
      <c r="I4" s="137"/>
      <c r="J4" s="137"/>
      <c r="K4" s="137"/>
      <c r="M4" s="22" t="str">
        <f>"DROP TABLE "&amp; $C$3 &amp;";"</f>
        <v>DROP TABLE Screen;</v>
      </c>
    </row>
    <row r="5" spans="1:22" ht="13.2">
      <c r="A5" s="138" t="s">
        <v>136</v>
      </c>
      <c r="B5" s="139"/>
      <c r="C5" s="97" t="s">
        <v>248</v>
      </c>
      <c r="D5" s="138" t="s">
        <v>135</v>
      </c>
      <c r="E5" s="140"/>
      <c r="F5" s="141" t="s">
        <v>664</v>
      </c>
      <c r="G5" s="140"/>
      <c r="H5" s="96" t="s">
        <v>273</v>
      </c>
      <c r="I5" s="97" t="s">
        <v>138</v>
      </c>
      <c r="J5" s="97"/>
      <c r="K5" s="97"/>
      <c r="M5" s="22"/>
    </row>
    <row r="6" spans="1:22">
      <c r="A6" s="96" t="s">
        <v>1</v>
      </c>
      <c r="B6" s="96" t="s">
        <v>12</v>
      </c>
      <c r="C6" s="96" t="s">
        <v>13</v>
      </c>
      <c r="D6" s="96" t="s">
        <v>14</v>
      </c>
      <c r="E6" s="96" t="s">
        <v>15</v>
      </c>
      <c r="F6" s="96" t="s">
        <v>16</v>
      </c>
      <c r="G6" s="96" t="s">
        <v>26</v>
      </c>
      <c r="H6" s="96" t="s">
        <v>25</v>
      </c>
      <c r="I6" s="96" t="s">
        <v>17</v>
      </c>
      <c r="J6" s="96" t="s">
        <v>274</v>
      </c>
      <c r="K6" s="96" t="s">
        <v>6</v>
      </c>
      <c r="M6" s="23" t="str">
        <f>"CREATE TABLE " &amp; $C$3 &amp; " ("</f>
        <v>CREATE TABLE Screen (</v>
      </c>
      <c r="V6" s="23" t="str">
        <f>LEFT(UPPER($C$3)&amp;REPT(" ",30),30)
&amp;LEFT(SUBSTITUTE(LOWER(MID(SUBSTITUTE(PROPER($C$3),"_",""),1,1))&amp;MID(SUBSTITUTE(PROPER($C$3),"_",""),2,LEN(SUBSTITUTE(PROPER($C$3),"_",""))),"tb","")&amp;REPT(" ",30),30)
&amp;LEFT($D$3&amp;REPT(" ",30),30)</f>
        <v xml:space="preserve">SCREEN                        screen                        화면                            </v>
      </c>
    </row>
    <row r="7" spans="1:22">
      <c r="A7" s="59">
        <v>1</v>
      </c>
      <c r="B7" s="2" t="s">
        <v>695</v>
      </c>
      <c r="C7" s="2" t="s">
        <v>665</v>
      </c>
      <c r="D7" s="17" t="s">
        <v>275</v>
      </c>
      <c r="E7" s="39">
        <v>256</v>
      </c>
      <c r="F7" s="40"/>
      <c r="G7" s="38"/>
      <c r="H7" s="42"/>
      <c r="I7" s="41"/>
      <c r="J7" s="38"/>
      <c r="K7" s="43"/>
      <c r="M7" s="23" t="str">
        <f>REPT(" ",13)&amp;IF(ISBLANK($B7),"--"&amp;$A7,
LEFT(SUBSTITUTE($B7," ","*")&amp;REPT("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       storeNumber                   VARCHAR(256)                                                ,</v>
      </c>
      <c r="V7" s="23" t="str">
        <f>REPT(" ",6)&amp;
IF(ISBLANK($B7),"--"&amp;UPPER($A7),LEFT(SUBSTITUTE(UPPER($B7)," ","*")&amp;REPT(" ",30),30)&amp;
LEFT("AS " &amp; LOWER(MID(SUBSTITUTE(PROPER($B7),"_",""),1,1))&amp;MID(SUBSTITUTE(PROPER($B7),"_",""),2,LEN(SUBSTITUTE(PROPER($B7),"_","")))&amp;REPT(" ",30),30)&amp;
LEFT(IF(ISBLANK($C7),"/**/","/* "&amp;$C7)&amp;" */"&amp;REPT(" ",30),30))</f>
        <v xml:space="preserve">      STORENUMBER                   AS storenumber                /* 상점번호 */                    </v>
      </c>
    </row>
    <row r="8" spans="1:22">
      <c r="A8" s="59">
        <v>2</v>
      </c>
      <c r="B8" s="2" t="s">
        <v>696</v>
      </c>
      <c r="C8" s="2" t="s">
        <v>666</v>
      </c>
      <c r="D8" s="17" t="s">
        <v>275</v>
      </c>
      <c r="E8" s="33">
        <v>256</v>
      </c>
      <c r="F8" s="39"/>
      <c r="G8" s="44"/>
      <c r="H8" s="38"/>
      <c r="I8" s="41"/>
      <c r="J8" s="38"/>
      <c r="K8" s="43" t="s">
        <v>683</v>
      </c>
      <c r="M8" s="23" t="str">
        <f t="shared" ref="M8:M71" si="0">REPT(" ",13)&amp;IF(ISBLANK($B8),"--"&amp;$A8,
LEFT(SUBSTITUTE($B8," ","*")&amp;REPT(" ",30),30)&amp;
LEFT(IF(ISBLANK($D8),"",IF(OR(UPPER($D8)="DATE",UPPER($D8)="CLOB",UPPER($D8)="BLOB",UPPER($D8)="LONG",UPPER($D8)="TIMESTAMP"),UPPER($D8),IF(ISBLANK($E8),UPPER($D8),UPPER($D8)&amp;"("&amp;$E8&amp;")")))&amp;REPT(" ",15),15)&amp;
LEFT(IF(ISBLANK($F8),"","DEFAULT  "&amp;$F8)&amp;REPT(" ",19),19)&amp;
LEFT(IF(ISBLANK($J8),""," identity(" &amp; $J8 &amp; ") ")&amp;REPT(" ",17),17)&amp;
LEFT(IF(ISBLANK($H8),""," NOT NULL")&amp;REPT(" ",9),9)&amp;
IF(AND(ISBLANK(G$7),ISBLANK($B9)),"",","))</f>
        <v xml:space="preserve">             storeName                     VARCHAR(256)                                                ,</v>
      </c>
      <c r="V8" s="23" t="str">
        <f t="shared" ref="V8:V71" si="1">REPT(" ",6)&amp;
IF(ISBLANK($B8),"--"&amp;UPPER($A8),LEFT(SUBSTITUTE(UPPER($B8)," ","*")&amp;REPT(" ",30),30)&amp;
LEFT("AS " &amp; LOWER(MID(SUBSTITUTE(PROPER($B8),"_",""),1,1))&amp;MID(SUBSTITUTE(PROPER($B8),"_",""),2,LEN(SUBSTITUTE(PROPER($B8),"_","")))&amp;REPT(" ",30),30)&amp;
LEFT(IF(ISBLANK($C8),"/**/","/* "&amp;$C8)&amp;" */"&amp;REPT(" ",30),30))</f>
        <v xml:space="preserve">      STORENAME                     AS storename                  /* 상점명 */                     </v>
      </c>
    </row>
    <row r="9" spans="1:22">
      <c r="A9" s="59">
        <v>3</v>
      </c>
      <c r="B9" s="2" t="s">
        <v>697</v>
      </c>
      <c r="C9" s="2" t="s">
        <v>667</v>
      </c>
      <c r="D9" s="17" t="s">
        <v>275</v>
      </c>
      <c r="E9" s="33">
        <v>256</v>
      </c>
      <c r="F9" s="39"/>
      <c r="G9" s="44"/>
      <c r="H9" s="38"/>
      <c r="I9" s="41"/>
      <c r="J9" s="41"/>
      <c r="K9" s="43" t="s">
        <v>683</v>
      </c>
      <c r="M9" s="23" t="str">
        <f t="shared" si="0"/>
        <v xml:space="preserve">             sellerName                    VARCHAR(256)                                                ,</v>
      </c>
      <c r="V9" s="23" t="str">
        <f t="shared" si="1"/>
        <v xml:space="preserve">      SELLERNAME                    AS sellername                 /* 판매자명 */                    </v>
      </c>
    </row>
    <row r="10" spans="1:22">
      <c r="A10" s="59">
        <v>4</v>
      </c>
      <c r="B10" s="92" t="s">
        <v>678</v>
      </c>
      <c r="C10" s="92" t="s">
        <v>668</v>
      </c>
      <c r="D10" s="17" t="s">
        <v>275</v>
      </c>
      <c r="E10" s="33">
        <v>256</v>
      </c>
      <c r="F10" s="33"/>
      <c r="G10" s="33"/>
      <c r="H10" s="33"/>
      <c r="I10" s="35"/>
      <c r="J10" s="35"/>
      <c r="K10" s="43" t="s">
        <v>683</v>
      </c>
      <c r="M10" s="23" t="str">
        <f t="shared" si="0"/>
        <v xml:space="preserve">             nickName                      VARCHAR(256)                                                ,</v>
      </c>
      <c r="V10" s="23" t="str">
        <f t="shared" si="1"/>
        <v xml:space="preserve">      NICKNAME                      AS nickname                   /* 별명 */                      </v>
      </c>
    </row>
    <row r="11" spans="1:22">
      <c r="A11" s="59">
        <v>5</v>
      </c>
      <c r="B11" s="91" t="s">
        <v>698</v>
      </c>
      <c r="C11" s="91" t="s">
        <v>276</v>
      </c>
      <c r="D11" s="17" t="s">
        <v>275</v>
      </c>
      <c r="E11" s="33">
        <v>256</v>
      </c>
      <c r="F11" s="35"/>
      <c r="G11" s="33"/>
      <c r="H11" s="33"/>
      <c r="I11" s="35"/>
      <c r="J11" s="35"/>
      <c r="K11" s="43" t="s">
        <v>683</v>
      </c>
      <c r="M11" s="23" t="str">
        <f t="shared" si="0"/>
        <v xml:space="preserve">             phoneNumber                   VARCHAR(256)                                                ,</v>
      </c>
      <c r="V11" s="23" t="str">
        <f t="shared" si="1"/>
        <v xml:space="preserve">      PHONENUMBER                   AS phonenumber                /* 전화번호 */                    </v>
      </c>
    </row>
    <row r="12" spans="1:22">
      <c r="A12" s="59">
        <v>6</v>
      </c>
      <c r="B12" s="91" t="s">
        <v>699</v>
      </c>
      <c r="C12" s="91" t="s">
        <v>669</v>
      </c>
      <c r="D12" s="17" t="s">
        <v>275</v>
      </c>
      <c r="E12" s="33">
        <v>256</v>
      </c>
      <c r="F12" s="33"/>
      <c r="G12" s="33"/>
      <c r="H12" s="33"/>
      <c r="I12" s="35"/>
      <c r="J12" s="35"/>
      <c r="K12" s="43" t="s">
        <v>683</v>
      </c>
      <c r="M12" s="23" t="str">
        <f t="shared" si="0"/>
        <v xml:space="preserve">             emailAddress                  VARCHAR(256)                                                ,</v>
      </c>
      <c r="V12" s="23" t="str">
        <f t="shared" si="1"/>
        <v xml:space="preserve">      EMAILADDRESS                  AS emailaddress               /* 이메일주소 */                   </v>
      </c>
    </row>
    <row r="13" spans="1:22">
      <c r="A13" s="59">
        <v>7</v>
      </c>
      <c r="B13" s="91" t="s">
        <v>690</v>
      </c>
      <c r="C13" s="91" t="s">
        <v>701</v>
      </c>
      <c r="D13" s="17" t="s">
        <v>275</v>
      </c>
      <c r="E13" s="33">
        <v>256</v>
      </c>
      <c r="F13" s="35"/>
      <c r="G13" s="33"/>
      <c r="H13" s="33"/>
      <c r="I13" s="35"/>
      <c r="J13" s="35"/>
      <c r="K13" s="43" t="s">
        <v>683</v>
      </c>
      <c r="M13" s="23" t="str">
        <f t="shared" si="0"/>
        <v xml:space="preserve">             zipCode                       VARCHAR(256)                                                ,</v>
      </c>
      <c r="V13" s="23" t="str">
        <f t="shared" si="1"/>
        <v xml:space="preserve">      ZIPCODE                       AS zipcode                    /* 우편번호(지번) */                </v>
      </c>
    </row>
    <row r="14" spans="1:22" ht="21.6">
      <c r="A14" s="59">
        <v>8</v>
      </c>
      <c r="B14" s="91" t="s">
        <v>700</v>
      </c>
      <c r="C14" s="91" t="s">
        <v>702</v>
      </c>
      <c r="D14" s="17" t="s">
        <v>275</v>
      </c>
      <c r="E14" s="33">
        <v>256</v>
      </c>
      <c r="F14" s="33"/>
      <c r="G14" s="33"/>
      <c r="H14" s="33"/>
      <c r="I14" s="35"/>
      <c r="J14" s="35"/>
      <c r="K14" s="43" t="s">
        <v>683</v>
      </c>
      <c r="M14" s="23" t="str">
        <f t="shared" si="0"/>
        <v xml:space="preserve">             postalCode                    VARCHAR(256)                                                ,</v>
      </c>
      <c r="V14" s="23" t="str">
        <f t="shared" si="1"/>
        <v xml:space="preserve">      POSTALCODE                    AS postalcode                 /* 우편번호(도로명) */               </v>
      </c>
    </row>
    <row r="15" spans="1:22">
      <c r="A15" s="59">
        <v>9</v>
      </c>
      <c r="B15" s="91" t="s">
        <v>691</v>
      </c>
      <c r="C15" s="91" t="s">
        <v>689</v>
      </c>
      <c r="D15" s="17" t="s">
        <v>275</v>
      </c>
      <c r="E15" s="33">
        <v>256</v>
      </c>
      <c r="F15" s="33"/>
      <c r="G15" s="33"/>
      <c r="H15" s="33"/>
      <c r="I15" s="35"/>
      <c r="J15" s="35"/>
      <c r="K15" s="43" t="s">
        <v>683</v>
      </c>
      <c r="M15" s="23" t="str">
        <f t="shared" si="0"/>
        <v xml:space="preserve">             baseAddress                   VARCHAR(256)                                                ,</v>
      </c>
      <c r="V15" s="23" t="str">
        <f t="shared" si="1"/>
        <v xml:space="preserve">      BASEADDRESS                   AS baseaddress                /* 기본주소 */                    </v>
      </c>
    </row>
    <row r="16" spans="1:22" ht="21.6">
      <c r="A16" s="59">
        <v>10</v>
      </c>
      <c r="B16" s="91" t="s">
        <v>692</v>
      </c>
      <c r="C16" s="91" t="s">
        <v>694</v>
      </c>
      <c r="D16" s="17" t="s">
        <v>275</v>
      </c>
      <c r="E16" s="33">
        <v>256</v>
      </c>
      <c r="F16" s="35"/>
      <c r="G16" s="33"/>
      <c r="H16" s="33"/>
      <c r="I16" s="35"/>
      <c r="J16" s="35"/>
      <c r="K16" s="43" t="s">
        <v>693</v>
      </c>
      <c r="M16" s="23" t="str">
        <f t="shared" si="0"/>
        <v xml:space="preserve">             availableArea                 VARCHAR(256)                                                ,</v>
      </c>
      <c r="V16" s="23" t="str">
        <f t="shared" si="1"/>
        <v xml:space="preserve">      AVAILABLEAREA                 AS availablearea              /* 판매가능지역 */                  </v>
      </c>
    </row>
    <row r="17" spans="1:22">
      <c r="A17" s="59">
        <v>11</v>
      </c>
      <c r="B17" s="92" t="s">
        <v>709</v>
      </c>
      <c r="C17" s="92" t="s">
        <v>707</v>
      </c>
      <c r="D17" s="17" t="s">
        <v>275</v>
      </c>
      <c r="E17" s="33">
        <v>256</v>
      </c>
      <c r="F17" s="33"/>
      <c r="G17" s="33"/>
      <c r="H17" s="33"/>
      <c r="I17" s="35"/>
      <c r="J17" s="35"/>
      <c r="K17" s="43" t="s">
        <v>711</v>
      </c>
      <c r="M17" s="23" t="str">
        <f t="shared" si="0"/>
        <v xml:space="preserve">             useAt                         VARCHAR(256)                                                ,</v>
      </c>
      <c r="V17" s="23" t="str">
        <f t="shared" si="1"/>
        <v xml:space="preserve">      USEAT                         AS useat                      /* 사용여부 */                    </v>
      </c>
    </row>
    <row r="18" spans="1:22">
      <c r="A18" s="59">
        <v>12</v>
      </c>
      <c r="B18" s="91" t="s">
        <v>710</v>
      </c>
      <c r="C18" s="91" t="s">
        <v>708</v>
      </c>
      <c r="D18" s="17" t="s">
        <v>275</v>
      </c>
      <c r="E18" s="33">
        <v>256</v>
      </c>
      <c r="F18" s="35"/>
      <c r="G18" s="33"/>
      <c r="H18" s="33"/>
      <c r="I18" s="35"/>
      <c r="J18" s="35"/>
      <c r="K18" s="43" t="s">
        <v>711</v>
      </c>
      <c r="M18" s="23" t="str">
        <f t="shared" si="0"/>
        <v xml:space="preserve">             delAt                         VARCHAR(256)                                                ,</v>
      </c>
      <c r="V18" s="23" t="str">
        <f t="shared" si="1"/>
        <v xml:space="preserve">      DELAT                         AS delat                      /* 삭제여부 */                    </v>
      </c>
    </row>
    <row r="19" spans="1:22">
      <c r="A19" s="59">
        <v>13</v>
      </c>
      <c r="B19" s="92" t="s">
        <v>671</v>
      </c>
      <c r="C19" s="92" t="s">
        <v>635</v>
      </c>
      <c r="D19" s="17" t="s">
        <v>275</v>
      </c>
      <c r="E19" s="33">
        <v>256</v>
      </c>
      <c r="F19" s="33"/>
      <c r="G19" s="33"/>
      <c r="H19" s="33"/>
      <c r="I19" s="35"/>
      <c r="J19" s="35"/>
      <c r="K19" s="43"/>
      <c r="M19" s="23" t="str">
        <f t="shared" si="0"/>
        <v xml:space="preserve">             createId                      VARCHAR(256)                                                ,</v>
      </c>
      <c r="V19" s="23" t="str">
        <f t="shared" si="1"/>
        <v xml:space="preserve">      CREATEID                      AS createid                   /* 생성자 */                     </v>
      </c>
    </row>
    <row r="20" spans="1:22">
      <c r="A20" s="59">
        <v>14</v>
      </c>
      <c r="B20" s="91" t="s">
        <v>674</v>
      </c>
      <c r="C20" s="91" t="s">
        <v>636</v>
      </c>
      <c r="D20" s="17" t="s">
        <v>275</v>
      </c>
      <c r="E20" s="33">
        <v>256</v>
      </c>
      <c r="F20" s="35"/>
      <c r="G20" s="33"/>
      <c r="H20" s="33"/>
      <c r="I20" s="35"/>
      <c r="J20" s="35"/>
      <c r="K20" s="43"/>
      <c r="M20" s="23" t="str">
        <f t="shared" si="0"/>
        <v xml:space="preserve">             createDate                    VARCHAR(256)                                                ,</v>
      </c>
      <c r="V20" s="23" t="str">
        <f t="shared" si="1"/>
        <v xml:space="preserve">      CREATEDATE                    AS createdate                 /* 생성 일시 */                   </v>
      </c>
    </row>
    <row r="21" spans="1:22">
      <c r="A21" s="59">
        <v>15</v>
      </c>
      <c r="B21" s="91" t="s">
        <v>672</v>
      </c>
      <c r="C21" s="91" t="s">
        <v>682</v>
      </c>
      <c r="D21" s="33" t="s">
        <v>275</v>
      </c>
      <c r="E21" s="33">
        <v>256</v>
      </c>
      <c r="F21" s="33"/>
      <c r="G21" s="33"/>
      <c r="H21" s="33"/>
      <c r="I21" s="35"/>
      <c r="J21" s="35"/>
      <c r="K21" s="90"/>
      <c r="M21" s="23" t="str">
        <f t="shared" si="0"/>
        <v xml:space="preserve">             updateId                      VARCHAR(256)                                                ,</v>
      </c>
      <c r="V21" s="23" t="str">
        <f t="shared" si="1"/>
        <v xml:space="preserve">      UPDATEID                      AS updateid                   /* 수정자 */                     </v>
      </c>
    </row>
    <row r="22" spans="1:22">
      <c r="A22" s="59">
        <v>16</v>
      </c>
      <c r="B22" s="91" t="s">
        <v>673</v>
      </c>
      <c r="C22" s="91" t="s">
        <v>637</v>
      </c>
      <c r="D22" s="17" t="s">
        <v>275</v>
      </c>
      <c r="E22" s="33">
        <v>256</v>
      </c>
      <c r="F22" s="35"/>
      <c r="G22" s="33"/>
      <c r="H22" s="33"/>
      <c r="I22" s="35"/>
      <c r="J22" s="35"/>
      <c r="K22" s="90"/>
      <c r="M22" s="23" t="str">
        <f t="shared" si="0"/>
        <v xml:space="preserve">             updateDate                    VARCHAR(256)                                                </v>
      </c>
      <c r="V22" s="23" t="str">
        <f t="shared" si="1"/>
        <v xml:space="preserve">      UPDATEDATE                    AS updatedate                 /* 갱신 일시 */                   </v>
      </c>
    </row>
    <row r="23" spans="1:22">
      <c r="A23" s="59">
        <v>17</v>
      </c>
      <c r="B23" s="91"/>
      <c r="C23" s="91"/>
      <c r="D23" s="33"/>
      <c r="E23" s="33"/>
      <c r="F23" s="35"/>
      <c r="G23" s="33"/>
      <c r="H23" s="33"/>
      <c r="I23" s="35"/>
      <c r="J23" s="35"/>
      <c r="K23" s="90"/>
      <c r="M23" s="23" t="str">
        <f t="shared" si="0"/>
        <v xml:space="preserve">             --17</v>
      </c>
      <c r="V23" s="23" t="str">
        <f t="shared" si="1"/>
        <v xml:space="preserve">      --17</v>
      </c>
    </row>
    <row r="24" spans="1:22">
      <c r="A24" s="59">
        <v>18</v>
      </c>
      <c r="B24" s="91"/>
      <c r="C24" s="91"/>
      <c r="D24" s="33"/>
      <c r="E24" s="33"/>
      <c r="F24" s="33"/>
      <c r="G24" s="33"/>
      <c r="H24" s="33"/>
      <c r="I24" s="35"/>
      <c r="J24" s="35"/>
      <c r="K24" s="90"/>
      <c r="M24" s="23" t="str">
        <f t="shared" si="0"/>
        <v xml:space="preserve">             --18</v>
      </c>
      <c r="V24" s="23" t="str">
        <f t="shared" si="1"/>
        <v xml:space="preserve">      --18</v>
      </c>
    </row>
    <row r="25" spans="1:22">
      <c r="A25" s="59">
        <v>19</v>
      </c>
      <c r="B25" s="91"/>
      <c r="C25" s="2"/>
      <c r="D25" s="38"/>
      <c r="E25" s="39"/>
      <c r="F25" s="33"/>
      <c r="G25" s="33"/>
      <c r="H25" s="33"/>
      <c r="I25" s="93"/>
      <c r="J25" s="93"/>
      <c r="K25" s="19"/>
      <c r="M25" s="23" t="str">
        <f t="shared" si="0"/>
        <v xml:space="preserve">             --19</v>
      </c>
      <c r="V25" s="23" t="str">
        <f t="shared" si="1"/>
        <v xml:space="preserve">      --19</v>
      </c>
    </row>
    <row r="26" spans="1:22">
      <c r="A26" s="59">
        <v>20</v>
      </c>
      <c r="B26" s="92"/>
      <c r="C26" s="92"/>
      <c r="D26" s="33"/>
      <c r="E26" s="33"/>
      <c r="F26" s="33"/>
      <c r="G26" s="33"/>
      <c r="H26" s="33"/>
      <c r="I26" s="93"/>
      <c r="J26" s="93"/>
      <c r="K26" s="19"/>
      <c r="M26" s="23" t="str">
        <f t="shared" si="0"/>
        <v xml:space="preserve">             --20</v>
      </c>
      <c r="V26" s="23" t="str">
        <f t="shared" si="1"/>
        <v xml:space="preserve">      --20</v>
      </c>
    </row>
    <row r="27" spans="1:22">
      <c r="A27" s="59">
        <v>21</v>
      </c>
      <c r="B27" s="91"/>
      <c r="C27" s="91"/>
      <c r="D27" s="33"/>
      <c r="E27" s="33"/>
      <c r="F27" s="33"/>
      <c r="G27" s="33"/>
      <c r="H27" s="33"/>
      <c r="I27" s="35"/>
      <c r="J27" s="35"/>
      <c r="K27" s="90"/>
      <c r="M27" s="23" t="str">
        <f t="shared" si="0"/>
        <v xml:space="preserve">             --21</v>
      </c>
      <c r="V27" s="23" t="str">
        <f t="shared" si="1"/>
        <v xml:space="preserve">      --21</v>
      </c>
    </row>
    <row r="28" spans="1:22">
      <c r="A28" s="59">
        <v>22</v>
      </c>
      <c r="B28" s="91"/>
      <c r="C28" s="91"/>
      <c r="D28" s="33"/>
      <c r="E28" s="33"/>
      <c r="F28" s="33"/>
      <c r="G28" s="33"/>
      <c r="H28" s="33"/>
      <c r="I28" s="35"/>
      <c r="J28" s="35"/>
      <c r="K28" s="90"/>
      <c r="M28" s="23" t="str">
        <f t="shared" si="0"/>
        <v xml:space="preserve">             --22</v>
      </c>
      <c r="V28" s="23" t="str">
        <f t="shared" si="1"/>
        <v xml:space="preserve">      --22</v>
      </c>
    </row>
    <row r="29" spans="1:22">
      <c r="A29" s="59">
        <v>23</v>
      </c>
      <c r="B29" s="91"/>
      <c r="C29" s="91"/>
      <c r="D29" s="33"/>
      <c r="E29" s="33"/>
      <c r="F29" s="33"/>
      <c r="G29" s="33"/>
      <c r="H29" s="33"/>
      <c r="I29" s="35"/>
      <c r="J29" s="35"/>
      <c r="K29" s="90"/>
      <c r="M29" s="23" t="str">
        <f t="shared" si="0"/>
        <v xml:space="preserve">             --23</v>
      </c>
      <c r="V29" s="23" t="str">
        <f t="shared" si="1"/>
        <v xml:space="preserve">      --23</v>
      </c>
    </row>
    <row r="30" spans="1:22">
      <c r="A30" s="59">
        <v>24</v>
      </c>
      <c r="B30" s="91"/>
      <c r="C30" s="91"/>
      <c r="D30" s="33"/>
      <c r="E30" s="33"/>
      <c r="F30" s="35"/>
      <c r="G30" s="33"/>
      <c r="H30" s="33"/>
      <c r="I30" s="35"/>
      <c r="J30" s="35"/>
      <c r="K30" s="90"/>
      <c r="M30" s="23" t="str">
        <f t="shared" si="0"/>
        <v xml:space="preserve">             --24</v>
      </c>
      <c r="V30" s="23" t="str">
        <f t="shared" si="1"/>
        <v xml:space="preserve">      --24</v>
      </c>
    </row>
    <row r="31" spans="1:22">
      <c r="A31" s="59">
        <v>25</v>
      </c>
      <c r="B31" s="91"/>
      <c r="C31" s="91"/>
      <c r="D31" s="33"/>
      <c r="E31" s="33"/>
      <c r="F31" s="33"/>
      <c r="G31" s="33"/>
      <c r="H31" s="33"/>
      <c r="I31" s="35"/>
      <c r="J31" s="35"/>
      <c r="K31" s="90"/>
      <c r="M31" s="23" t="str">
        <f t="shared" si="0"/>
        <v xml:space="preserve">             --25</v>
      </c>
      <c r="V31" s="23" t="str">
        <f t="shared" si="1"/>
        <v xml:space="preserve">      --25</v>
      </c>
    </row>
    <row r="32" spans="1:22">
      <c r="A32" s="59">
        <v>26</v>
      </c>
      <c r="B32" s="91"/>
      <c r="C32" s="2"/>
      <c r="D32" s="38"/>
      <c r="E32" s="39"/>
      <c r="F32" s="33"/>
      <c r="G32" s="33"/>
      <c r="H32" s="33"/>
      <c r="I32" s="93"/>
      <c r="J32" s="93"/>
      <c r="K32" s="19"/>
      <c r="M32" s="23" t="str">
        <f t="shared" si="0"/>
        <v xml:space="preserve">             --26</v>
      </c>
      <c r="V32" s="23" t="str">
        <f t="shared" si="1"/>
        <v xml:space="preserve">      --26</v>
      </c>
    </row>
    <row r="33" spans="1:22">
      <c r="A33" s="59">
        <v>27</v>
      </c>
      <c r="B33" s="92"/>
      <c r="C33" s="92"/>
      <c r="D33" s="33"/>
      <c r="E33" s="33"/>
      <c r="F33" s="33"/>
      <c r="G33" s="33"/>
      <c r="H33" s="33"/>
      <c r="I33" s="93"/>
      <c r="J33" s="93"/>
      <c r="K33" s="19"/>
      <c r="M33" s="23" t="str">
        <f t="shared" si="0"/>
        <v xml:space="preserve">             --27</v>
      </c>
      <c r="V33" s="23" t="str">
        <f t="shared" si="1"/>
        <v xml:space="preserve">      --27</v>
      </c>
    </row>
    <row r="34" spans="1:22">
      <c r="A34" s="59">
        <v>28</v>
      </c>
      <c r="B34" s="91"/>
      <c r="C34" s="91"/>
      <c r="D34" s="33"/>
      <c r="E34" s="33"/>
      <c r="F34" s="33"/>
      <c r="G34" s="33"/>
      <c r="H34" s="33"/>
      <c r="I34" s="35"/>
      <c r="J34" s="35"/>
      <c r="K34" s="90"/>
      <c r="M34" s="23" t="str">
        <f t="shared" si="0"/>
        <v xml:space="preserve">             --28</v>
      </c>
      <c r="V34" s="23" t="str">
        <f t="shared" si="1"/>
        <v xml:space="preserve">      --28</v>
      </c>
    </row>
    <row r="35" spans="1:22">
      <c r="A35" s="59">
        <v>29</v>
      </c>
      <c r="B35" s="91"/>
      <c r="C35" s="91"/>
      <c r="D35" s="33"/>
      <c r="E35" s="33"/>
      <c r="F35" s="33"/>
      <c r="G35" s="33"/>
      <c r="H35" s="33"/>
      <c r="I35" s="35"/>
      <c r="J35" s="35"/>
      <c r="K35" s="90"/>
      <c r="M35" s="23" t="str">
        <f t="shared" si="0"/>
        <v xml:space="preserve">             --29</v>
      </c>
      <c r="V35" s="23" t="str">
        <f t="shared" si="1"/>
        <v xml:space="preserve">      --29</v>
      </c>
    </row>
    <row r="36" spans="1:22">
      <c r="A36" s="59">
        <v>30</v>
      </c>
      <c r="B36" s="91"/>
      <c r="C36" s="91"/>
      <c r="D36" s="33"/>
      <c r="E36" s="33"/>
      <c r="F36" s="33"/>
      <c r="G36" s="33"/>
      <c r="H36" s="33"/>
      <c r="I36" s="35"/>
      <c r="J36" s="35"/>
      <c r="K36" s="90"/>
      <c r="M36" s="23" t="str">
        <f t="shared" si="0"/>
        <v xml:space="preserve">             --30</v>
      </c>
      <c r="V36" s="23" t="str">
        <f t="shared" si="1"/>
        <v xml:space="preserve">      --30</v>
      </c>
    </row>
    <row r="37" spans="1:22">
      <c r="A37" s="59">
        <v>31</v>
      </c>
      <c r="B37" s="91"/>
      <c r="C37" s="91"/>
      <c r="D37" s="33"/>
      <c r="E37" s="33"/>
      <c r="F37" s="35"/>
      <c r="G37" s="33"/>
      <c r="H37" s="33"/>
      <c r="I37" s="35"/>
      <c r="J37" s="35"/>
      <c r="K37" s="90"/>
      <c r="M37" s="23" t="str">
        <f t="shared" si="0"/>
        <v xml:space="preserve">             --31</v>
      </c>
      <c r="V37" s="23" t="str">
        <f t="shared" si="1"/>
        <v xml:space="preserve">      --31</v>
      </c>
    </row>
    <row r="38" spans="1:22">
      <c r="A38" s="59">
        <v>32</v>
      </c>
      <c r="B38" s="91"/>
      <c r="C38" s="91"/>
      <c r="D38" s="33"/>
      <c r="E38" s="33"/>
      <c r="F38" s="33"/>
      <c r="G38" s="33"/>
      <c r="H38" s="33"/>
      <c r="I38" s="35"/>
      <c r="J38" s="35"/>
      <c r="K38" s="90"/>
      <c r="M38" s="23" t="str">
        <f t="shared" si="0"/>
        <v xml:space="preserve">             --32</v>
      </c>
      <c r="V38" s="23" t="str">
        <f t="shared" si="1"/>
        <v xml:space="preserve">      --32</v>
      </c>
    </row>
    <row r="39" spans="1:22">
      <c r="A39" s="59">
        <v>33</v>
      </c>
      <c r="B39" s="91"/>
      <c r="C39" s="2"/>
      <c r="D39" s="38"/>
      <c r="E39" s="39"/>
      <c r="F39" s="33"/>
      <c r="G39" s="33"/>
      <c r="H39" s="33"/>
      <c r="I39" s="93"/>
      <c r="J39" s="93"/>
      <c r="K39" s="19"/>
      <c r="M39" s="23" t="str">
        <f t="shared" si="0"/>
        <v xml:space="preserve">             --33</v>
      </c>
      <c r="V39" s="23" t="str">
        <f t="shared" si="1"/>
        <v xml:space="preserve">      --33</v>
      </c>
    </row>
    <row r="40" spans="1:22">
      <c r="A40" s="59">
        <v>34</v>
      </c>
      <c r="B40" s="92"/>
      <c r="C40" s="92"/>
      <c r="D40" s="33"/>
      <c r="E40" s="33"/>
      <c r="F40" s="33"/>
      <c r="G40" s="33"/>
      <c r="H40" s="33"/>
      <c r="I40" s="93"/>
      <c r="J40" s="93"/>
      <c r="K40" s="19"/>
      <c r="M40" s="23" t="str">
        <f t="shared" si="0"/>
        <v xml:space="preserve">             --34</v>
      </c>
      <c r="V40" s="23" t="str">
        <f t="shared" si="1"/>
        <v xml:space="preserve">      --34</v>
      </c>
    </row>
    <row r="41" spans="1:22">
      <c r="A41" s="59">
        <v>35</v>
      </c>
      <c r="B41" s="91"/>
      <c r="C41" s="91"/>
      <c r="D41" s="33"/>
      <c r="E41" s="33"/>
      <c r="F41" s="33"/>
      <c r="G41" s="33"/>
      <c r="H41" s="33"/>
      <c r="I41" s="35"/>
      <c r="J41" s="35"/>
      <c r="K41" s="90"/>
      <c r="M41" s="23" t="str">
        <f t="shared" si="0"/>
        <v xml:space="preserve">             --35</v>
      </c>
      <c r="V41" s="23" t="str">
        <f t="shared" si="1"/>
        <v xml:space="preserve">      --35</v>
      </c>
    </row>
    <row r="42" spans="1:22">
      <c r="A42" s="59">
        <v>36</v>
      </c>
      <c r="B42" s="91"/>
      <c r="C42" s="91"/>
      <c r="D42" s="33"/>
      <c r="E42" s="33"/>
      <c r="F42" s="33"/>
      <c r="G42" s="33"/>
      <c r="H42" s="33"/>
      <c r="I42" s="35"/>
      <c r="J42" s="35"/>
      <c r="K42" s="90"/>
      <c r="M42" s="23" t="str">
        <f t="shared" si="0"/>
        <v xml:space="preserve">             --36</v>
      </c>
      <c r="V42" s="23" t="str">
        <f t="shared" si="1"/>
        <v xml:space="preserve">      --36</v>
      </c>
    </row>
    <row r="43" spans="1:22">
      <c r="A43" s="59">
        <v>37</v>
      </c>
      <c r="B43" s="91"/>
      <c r="C43" s="91"/>
      <c r="D43" s="17"/>
      <c r="E43" s="33"/>
      <c r="F43" s="35"/>
      <c r="G43" s="33"/>
      <c r="H43" s="33"/>
      <c r="I43" s="35"/>
      <c r="J43" s="35"/>
      <c r="K43" s="90"/>
      <c r="M43" s="23" t="str">
        <f t="shared" si="0"/>
        <v xml:space="preserve">             --37</v>
      </c>
      <c r="V43" s="23" t="str">
        <f t="shared" si="1"/>
        <v xml:space="preserve">      --37</v>
      </c>
    </row>
    <row r="44" spans="1:22">
      <c r="A44" s="59">
        <v>38</v>
      </c>
      <c r="B44" s="91"/>
      <c r="C44" s="91"/>
      <c r="D44" s="33"/>
      <c r="E44" s="33"/>
      <c r="F44" s="33"/>
      <c r="G44" s="33"/>
      <c r="H44" s="33"/>
      <c r="I44" s="35"/>
      <c r="J44" s="35"/>
      <c r="K44" s="90"/>
      <c r="M44" s="23" t="str">
        <f t="shared" si="0"/>
        <v xml:space="preserve">             --38</v>
      </c>
      <c r="V44" s="23" t="str">
        <f t="shared" si="1"/>
        <v xml:space="preserve">      --38</v>
      </c>
    </row>
    <row r="45" spans="1:22">
      <c r="A45" s="59">
        <v>39</v>
      </c>
      <c r="B45" s="91"/>
      <c r="C45" s="91"/>
      <c r="D45" s="33"/>
      <c r="E45" s="33"/>
      <c r="F45" s="33"/>
      <c r="G45" s="33"/>
      <c r="H45" s="33"/>
      <c r="I45" s="35"/>
      <c r="J45" s="35"/>
      <c r="K45" s="90"/>
      <c r="M45" s="23" t="str">
        <f t="shared" si="0"/>
        <v xml:space="preserve">             --39</v>
      </c>
      <c r="V45" s="23" t="str">
        <f t="shared" si="1"/>
        <v xml:space="preserve">      --39</v>
      </c>
    </row>
    <row r="46" spans="1:22">
      <c r="A46" s="59">
        <v>40</v>
      </c>
      <c r="B46" s="92"/>
      <c r="C46" s="92"/>
      <c r="D46" s="33"/>
      <c r="E46" s="33"/>
      <c r="F46" s="33"/>
      <c r="G46" s="33"/>
      <c r="H46" s="33"/>
      <c r="I46" s="93"/>
      <c r="J46" s="93"/>
      <c r="K46" s="19"/>
      <c r="M46" s="23" t="str">
        <f t="shared" si="0"/>
        <v xml:space="preserve">             --40</v>
      </c>
      <c r="V46" s="23" t="str">
        <f t="shared" si="1"/>
        <v xml:space="preserve">      --40</v>
      </c>
    </row>
    <row r="47" spans="1:22">
      <c r="A47" s="59">
        <v>41</v>
      </c>
      <c r="B47" s="91"/>
      <c r="C47" s="91"/>
      <c r="D47" s="33"/>
      <c r="E47" s="33"/>
      <c r="F47" s="33"/>
      <c r="G47" s="33"/>
      <c r="H47" s="33"/>
      <c r="I47" s="35"/>
      <c r="J47" s="35"/>
      <c r="K47" s="90"/>
      <c r="M47" s="23" t="str">
        <f t="shared" si="0"/>
        <v xml:space="preserve">             --41</v>
      </c>
      <c r="V47" s="23" t="str">
        <f t="shared" si="1"/>
        <v xml:space="preserve">      --41</v>
      </c>
    </row>
    <row r="48" spans="1:22">
      <c r="A48" s="59">
        <v>42</v>
      </c>
      <c r="B48" s="91"/>
      <c r="C48" s="2"/>
      <c r="D48" s="38"/>
      <c r="E48" s="39"/>
      <c r="F48" s="33"/>
      <c r="G48" s="33"/>
      <c r="H48" s="33"/>
      <c r="I48" s="93"/>
      <c r="J48" s="93"/>
      <c r="K48" s="19"/>
      <c r="M48" s="23" t="str">
        <f t="shared" si="0"/>
        <v xml:space="preserve">             --42</v>
      </c>
      <c r="V48" s="23" t="str">
        <f t="shared" si="1"/>
        <v xml:space="preserve">      --42</v>
      </c>
    </row>
    <row r="49" spans="1:22">
      <c r="A49" s="59">
        <v>43</v>
      </c>
      <c r="B49" s="92"/>
      <c r="C49" s="92"/>
      <c r="D49" s="33"/>
      <c r="E49" s="33"/>
      <c r="F49" s="33"/>
      <c r="G49" s="33"/>
      <c r="H49" s="33"/>
      <c r="I49" s="93"/>
      <c r="J49" s="93"/>
      <c r="K49" s="19"/>
      <c r="M49" s="23" t="str">
        <f t="shared" si="0"/>
        <v xml:space="preserve">             --43</v>
      </c>
      <c r="V49" s="23" t="str">
        <f t="shared" si="1"/>
        <v xml:space="preserve">      --43</v>
      </c>
    </row>
    <row r="50" spans="1:22">
      <c r="A50" s="59">
        <v>44</v>
      </c>
      <c r="B50" s="91"/>
      <c r="C50" s="91"/>
      <c r="D50" s="33"/>
      <c r="E50" s="33"/>
      <c r="F50" s="33"/>
      <c r="G50" s="33"/>
      <c r="H50" s="33"/>
      <c r="I50" s="35"/>
      <c r="J50" s="35"/>
      <c r="K50" s="90"/>
      <c r="M50" s="23" t="str">
        <f t="shared" si="0"/>
        <v xml:space="preserve">             --44</v>
      </c>
      <c r="V50" s="23" t="str">
        <f t="shared" si="1"/>
        <v xml:space="preserve">      --44</v>
      </c>
    </row>
    <row r="51" spans="1:22">
      <c r="A51" s="59">
        <v>45</v>
      </c>
      <c r="B51" s="91"/>
      <c r="C51" s="91"/>
      <c r="D51" s="33"/>
      <c r="E51" s="33"/>
      <c r="F51" s="33"/>
      <c r="G51" s="33"/>
      <c r="H51" s="33"/>
      <c r="I51" s="35"/>
      <c r="J51" s="35"/>
      <c r="K51" s="90"/>
      <c r="M51" s="23" t="str">
        <f t="shared" si="0"/>
        <v xml:space="preserve">             --45</v>
      </c>
      <c r="V51" s="23" t="str">
        <f t="shared" si="1"/>
        <v xml:space="preserve">      --45</v>
      </c>
    </row>
    <row r="52" spans="1:22">
      <c r="A52" s="59">
        <v>46</v>
      </c>
      <c r="B52" s="91"/>
      <c r="C52" s="91"/>
      <c r="D52" s="17"/>
      <c r="E52" s="33"/>
      <c r="F52" s="35"/>
      <c r="G52" s="33"/>
      <c r="H52" s="33"/>
      <c r="I52" s="35"/>
      <c r="J52" s="35"/>
      <c r="K52" s="90"/>
      <c r="M52" s="23" t="str">
        <f t="shared" si="0"/>
        <v xml:space="preserve">             --46</v>
      </c>
      <c r="V52" s="23" t="str">
        <f t="shared" si="1"/>
        <v xml:space="preserve">      --46</v>
      </c>
    </row>
    <row r="53" spans="1:22">
      <c r="A53" s="59">
        <v>47</v>
      </c>
      <c r="B53" s="91"/>
      <c r="C53" s="91"/>
      <c r="D53" s="33"/>
      <c r="E53" s="33"/>
      <c r="F53" s="33"/>
      <c r="G53" s="33"/>
      <c r="H53" s="33"/>
      <c r="I53" s="35"/>
      <c r="J53" s="35"/>
      <c r="K53" s="90"/>
      <c r="M53" s="23" t="str">
        <f t="shared" si="0"/>
        <v xml:space="preserve">             --47</v>
      </c>
      <c r="V53" s="23" t="str">
        <f t="shared" si="1"/>
        <v xml:space="preserve">      --47</v>
      </c>
    </row>
    <row r="54" spans="1:22">
      <c r="A54" s="59">
        <v>48</v>
      </c>
      <c r="B54" s="91"/>
      <c r="C54" s="91"/>
      <c r="D54" s="33"/>
      <c r="E54" s="33"/>
      <c r="F54" s="33"/>
      <c r="G54" s="33"/>
      <c r="H54" s="33"/>
      <c r="I54" s="35"/>
      <c r="J54" s="35"/>
      <c r="K54" s="90"/>
      <c r="M54" s="23" t="str">
        <f t="shared" si="0"/>
        <v xml:space="preserve">             --48</v>
      </c>
      <c r="V54" s="23" t="str">
        <f t="shared" si="1"/>
        <v xml:space="preserve">      --48</v>
      </c>
    </row>
    <row r="55" spans="1:22">
      <c r="A55" s="59">
        <v>49</v>
      </c>
      <c r="B55" s="92"/>
      <c r="C55" s="92"/>
      <c r="D55" s="33"/>
      <c r="E55" s="33"/>
      <c r="F55" s="33"/>
      <c r="G55" s="33"/>
      <c r="H55" s="33"/>
      <c r="I55" s="93"/>
      <c r="J55" s="93"/>
      <c r="K55" s="19"/>
      <c r="M55" s="23" t="str">
        <f t="shared" si="0"/>
        <v xml:space="preserve">             --49</v>
      </c>
      <c r="V55" s="23" t="str">
        <f t="shared" si="1"/>
        <v xml:space="preserve">      --49</v>
      </c>
    </row>
    <row r="56" spans="1:22">
      <c r="A56" s="59">
        <v>50</v>
      </c>
      <c r="B56" s="92"/>
      <c r="C56" s="92"/>
      <c r="D56" s="33"/>
      <c r="E56" s="33"/>
      <c r="F56" s="33"/>
      <c r="G56" s="33"/>
      <c r="H56" s="33"/>
      <c r="I56" s="93"/>
      <c r="J56" s="93"/>
      <c r="K56" s="19"/>
      <c r="M56" s="23" t="str">
        <f t="shared" si="0"/>
        <v xml:space="preserve">             --50</v>
      </c>
      <c r="V56" s="23" t="str">
        <f t="shared" si="1"/>
        <v xml:space="preserve">      --50</v>
      </c>
    </row>
    <row r="57" spans="1:22">
      <c r="A57" s="59">
        <v>51</v>
      </c>
      <c r="B57" s="92"/>
      <c r="C57" s="92"/>
      <c r="D57" s="33"/>
      <c r="E57" s="33"/>
      <c r="F57" s="33"/>
      <c r="G57" s="33"/>
      <c r="H57" s="33"/>
      <c r="I57" s="93"/>
      <c r="J57" s="93"/>
      <c r="K57" s="19"/>
      <c r="M57" s="23" t="str">
        <f t="shared" si="0"/>
        <v xml:space="preserve">             --51</v>
      </c>
      <c r="V57" s="23" t="str">
        <f t="shared" si="1"/>
        <v xml:space="preserve">      --51</v>
      </c>
    </row>
    <row r="58" spans="1:22">
      <c r="A58" s="59">
        <v>52</v>
      </c>
      <c r="B58" s="92"/>
      <c r="C58" s="92"/>
      <c r="D58" s="33"/>
      <c r="E58" s="33"/>
      <c r="F58" s="33"/>
      <c r="G58" s="33"/>
      <c r="H58" s="33"/>
      <c r="I58" s="93"/>
      <c r="J58" s="93"/>
      <c r="K58" s="19"/>
      <c r="M58" s="23" t="str">
        <f t="shared" si="0"/>
        <v xml:space="preserve">             --52</v>
      </c>
      <c r="V58" s="23" t="str">
        <f t="shared" si="1"/>
        <v xml:space="preserve">      --52</v>
      </c>
    </row>
    <row r="59" spans="1:22">
      <c r="A59" s="59">
        <v>53</v>
      </c>
      <c r="B59" s="92"/>
      <c r="C59" s="92"/>
      <c r="D59" s="33"/>
      <c r="E59" s="33"/>
      <c r="F59" s="33"/>
      <c r="G59" s="33"/>
      <c r="H59" s="33"/>
      <c r="I59" s="93"/>
      <c r="J59" s="93"/>
      <c r="K59" s="19"/>
      <c r="M59" s="23" t="str">
        <f t="shared" si="0"/>
        <v xml:space="preserve">             --53</v>
      </c>
      <c r="V59" s="23" t="str">
        <f t="shared" si="1"/>
        <v xml:space="preserve">      --53</v>
      </c>
    </row>
    <row r="60" spans="1:22">
      <c r="A60" s="59">
        <v>54</v>
      </c>
      <c r="B60" s="92"/>
      <c r="C60" s="92"/>
      <c r="D60" s="33"/>
      <c r="E60" s="33"/>
      <c r="F60" s="33"/>
      <c r="G60" s="33"/>
      <c r="H60" s="33"/>
      <c r="I60" s="93"/>
      <c r="J60" s="93"/>
      <c r="K60" s="19"/>
      <c r="M60" s="23" t="str">
        <f t="shared" si="0"/>
        <v xml:space="preserve">             --54</v>
      </c>
      <c r="V60" s="23" t="str">
        <f t="shared" si="1"/>
        <v xml:space="preserve">      --54</v>
      </c>
    </row>
    <row r="61" spans="1:22">
      <c r="A61" s="59">
        <v>55</v>
      </c>
      <c r="B61" s="92"/>
      <c r="C61" s="92"/>
      <c r="D61" s="33"/>
      <c r="E61" s="33"/>
      <c r="F61" s="33"/>
      <c r="G61" s="33"/>
      <c r="H61" s="33"/>
      <c r="I61" s="93"/>
      <c r="J61" s="93"/>
      <c r="K61" s="19"/>
      <c r="M61" s="23" t="str">
        <f t="shared" si="0"/>
        <v xml:space="preserve">             --55</v>
      </c>
      <c r="V61" s="23" t="str">
        <f t="shared" si="1"/>
        <v xml:space="preserve">      --55</v>
      </c>
    </row>
    <row r="62" spans="1:22">
      <c r="A62" s="59">
        <v>56</v>
      </c>
      <c r="B62" s="92"/>
      <c r="C62" s="92"/>
      <c r="D62" s="33"/>
      <c r="E62" s="33"/>
      <c r="F62" s="33"/>
      <c r="G62" s="33"/>
      <c r="H62" s="33"/>
      <c r="I62" s="93"/>
      <c r="J62" s="93"/>
      <c r="K62" s="19"/>
      <c r="M62" s="23" t="str">
        <f t="shared" si="0"/>
        <v xml:space="preserve">             --56</v>
      </c>
      <c r="V62" s="23" t="str">
        <f t="shared" si="1"/>
        <v xml:space="preserve">      --56</v>
      </c>
    </row>
    <row r="63" spans="1:22">
      <c r="A63" s="59">
        <v>57</v>
      </c>
      <c r="B63" s="92"/>
      <c r="C63" s="92"/>
      <c r="D63" s="33"/>
      <c r="E63" s="33"/>
      <c r="F63" s="33"/>
      <c r="G63" s="33"/>
      <c r="H63" s="33"/>
      <c r="I63" s="93"/>
      <c r="J63" s="93"/>
      <c r="K63" s="19"/>
      <c r="M63" s="23" t="str">
        <f t="shared" si="0"/>
        <v xml:space="preserve">             --57</v>
      </c>
      <c r="V63" s="23" t="str">
        <f t="shared" si="1"/>
        <v xml:space="preserve">      --57</v>
      </c>
    </row>
    <row r="64" spans="1:22">
      <c r="A64" s="59">
        <v>58</v>
      </c>
      <c r="B64" s="92"/>
      <c r="C64" s="92"/>
      <c r="D64" s="33"/>
      <c r="E64" s="33"/>
      <c r="F64" s="33"/>
      <c r="G64" s="33"/>
      <c r="H64" s="33"/>
      <c r="I64" s="93"/>
      <c r="J64" s="93"/>
      <c r="K64" s="19"/>
      <c r="M64" s="23" t="str">
        <f t="shared" si="0"/>
        <v xml:space="preserve">             --58</v>
      </c>
      <c r="V64" s="23" t="str">
        <f t="shared" si="1"/>
        <v xml:space="preserve">      --58</v>
      </c>
    </row>
    <row r="65" spans="1:22">
      <c r="A65" s="59">
        <v>59</v>
      </c>
      <c r="B65" s="92"/>
      <c r="C65" s="92"/>
      <c r="D65" s="33"/>
      <c r="E65" s="33"/>
      <c r="F65" s="33"/>
      <c r="G65" s="33"/>
      <c r="H65" s="33"/>
      <c r="I65" s="93"/>
      <c r="J65" s="93"/>
      <c r="K65" s="19"/>
      <c r="M65" s="23" t="str">
        <f t="shared" si="0"/>
        <v xml:space="preserve">             --59</v>
      </c>
      <c r="V65" s="23" t="str">
        <f t="shared" si="1"/>
        <v xml:space="preserve">      --59</v>
      </c>
    </row>
    <row r="66" spans="1:22">
      <c r="A66" s="59">
        <v>60</v>
      </c>
      <c r="B66" s="93"/>
      <c r="C66" s="92"/>
      <c r="D66" s="33"/>
      <c r="E66" s="33"/>
      <c r="F66" s="33"/>
      <c r="G66" s="33"/>
      <c r="H66" s="33"/>
      <c r="I66" s="93"/>
      <c r="J66" s="93"/>
      <c r="K66" s="19"/>
      <c r="M66" s="23" t="str">
        <f t="shared" si="0"/>
        <v xml:space="preserve">             --60</v>
      </c>
      <c r="V66" s="23" t="str">
        <f t="shared" si="1"/>
        <v xml:space="preserve">      --60</v>
      </c>
    </row>
    <row r="67" spans="1:22">
      <c r="A67" s="59">
        <v>61</v>
      </c>
      <c r="B67" s="93"/>
      <c r="C67" s="92"/>
      <c r="D67" s="33"/>
      <c r="E67" s="33"/>
      <c r="F67" s="33"/>
      <c r="G67" s="33"/>
      <c r="H67" s="33"/>
      <c r="I67" s="93"/>
      <c r="J67" s="93"/>
      <c r="K67" s="19"/>
      <c r="M67" s="23" t="str">
        <f t="shared" si="0"/>
        <v xml:space="preserve">             --61</v>
      </c>
      <c r="V67" s="23" t="str">
        <f t="shared" si="1"/>
        <v xml:space="preserve">      --61</v>
      </c>
    </row>
    <row r="68" spans="1:22">
      <c r="A68" s="59">
        <v>62</v>
      </c>
      <c r="B68" s="93"/>
      <c r="C68" s="92"/>
      <c r="D68" s="33"/>
      <c r="E68" s="33"/>
      <c r="F68" s="33"/>
      <c r="G68" s="33"/>
      <c r="H68" s="33"/>
      <c r="I68" s="93"/>
      <c r="J68" s="93"/>
      <c r="K68" s="19"/>
      <c r="M68" s="23" t="str">
        <f t="shared" si="0"/>
        <v xml:space="preserve">             --62</v>
      </c>
      <c r="V68" s="23" t="str">
        <f t="shared" si="1"/>
        <v xml:space="preserve">      --62</v>
      </c>
    </row>
    <row r="69" spans="1:22">
      <c r="A69" s="59">
        <v>63</v>
      </c>
      <c r="B69" s="93"/>
      <c r="C69" s="92"/>
      <c r="D69" s="33"/>
      <c r="E69" s="33"/>
      <c r="F69" s="33"/>
      <c r="G69" s="33"/>
      <c r="H69" s="33"/>
      <c r="I69" s="93"/>
      <c r="J69" s="93"/>
      <c r="K69" s="19"/>
      <c r="M69" s="23" t="str">
        <f t="shared" si="0"/>
        <v xml:space="preserve">             --63</v>
      </c>
      <c r="V69" s="23" t="str">
        <f t="shared" si="1"/>
        <v xml:space="preserve">      --63</v>
      </c>
    </row>
    <row r="70" spans="1:22">
      <c r="A70" s="59">
        <v>64</v>
      </c>
      <c r="B70" s="93"/>
      <c r="C70" s="92"/>
      <c r="D70" s="33"/>
      <c r="E70" s="33"/>
      <c r="F70" s="33"/>
      <c r="G70" s="33"/>
      <c r="H70" s="33"/>
      <c r="I70" s="93"/>
      <c r="J70" s="93"/>
      <c r="K70" s="19"/>
      <c r="M70" s="23" t="str">
        <f t="shared" si="0"/>
        <v xml:space="preserve">             --64</v>
      </c>
      <c r="V70" s="23" t="str">
        <f t="shared" si="1"/>
        <v xml:space="preserve">      --64</v>
      </c>
    </row>
    <row r="71" spans="1:22">
      <c r="A71" s="59">
        <v>65</v>
      </c>
      <c r="B71" s="93"/>
      <c r="C71" s="92"/>
      <c r="D71" s="33"/>
      <c r="E71" s="33"/>
      <c r="F71" s="33"/>
      <c r="G71" s="33"/>
      <c r="H71" s="33"/>
      <c r="I71" s="93"/>
      <c r="J71" s="93"/>
      <c r="K71" s="19"/>
      <c r="M71" s="23" t="str">
        <f t="shared" si="0"/>
        <v xml:space="preserve">             --65</v>
      </c>
      <c r="V71" s="23" t="str">
        <f t="shared" si="1"/>
        <v xml:space="preserve">      --65</v>
      </c>
    </row>
    <row r="72" spans="1:22">
      <c r="A72" s="59">
        <v>66</v>
      </c>
      <c r="B72" s="93"/>
      <c r="C72" s="92"/>
      <c r="D72" s="33"/>
      <c r="E72" s="33"/>
      <c r="F72" s="33"/>
      <c r="G72" s="33"/>
      <c r="H72" s="33"/>
      <c r="I72" s="93"/>
      <c r="J72" s="93"/>
      <c r="K72" s="19"/>
      <c r="M72" s="23" t="str">
        <f t="shared" ref="M72:M106" si="2">REPT(" ",13)&amp;IF(ISBLANK($B72),"--"&amp;$A72,
LEFT(SUBSTITUTE($B72," ","*")&amp;REPT(" ",30),30)&amp;
LEFT(IF(ISBLANK($D72),"",IF(OR(UPPER($D72)="DATE",UPPER($D72)="CLOB",UPPER($D72)="BLOB",UPPER($D72)="LONG",UPPER($D72)="TIMESTAMP"),UPPER($D72),IF(ISBLANK($E72),UPPER($D72),UPPER($D72)&amp;"("&amp;$E72&amp;")")))&amp;REPT(" ",15),15)&amp;
LEFT(IF(ISBLANK($F72),"","DEFAULT  "&amp;$F72)&amp;REPT(" ",19),19)&amp;
LEFT(IF(ISBLANK($J72),""," identity(" &amp; $J72 &amp; ") ")&amp;REPT(" ",17),17)&amp;
LEFT(IF(ISBLANK($H72),""," NOT NULL")&amp;REPT(" ",9),9)&amp;
IF(AND(ISBLANK(G$7),ISBLANK($B73)),"",","))</f>
        <v xml:space="preserve">             --66</v>
      </c>
      <c r="V72" s="23" t="str">
        <f t="shared" ref="V72:V106" si="3">REPT(" ",6)&amp;
IF(ISBLANK($B72),"--"&amp;UPPER($A72),LEFT(SUBSTITUTE(UPPER($B72)," ","*")&amp;REPT(" ",30),30)&amp;
LEFT("AS " &amp; LOWER(MID(SUBSTITUTE(PROPER($B72),"_",""),1,1))&amp;MID(SUBSTITUTE(PROPER($B72),"_",""),2,LEN(SUBSTITUTE(PROPER($B72),"_","")))&amp;REPT(" ",30),30)&amp;
LEFT(IF(ISBLANK($C72),"/**/","/* "&amp;$C72)&amp;" */"&amp;REPT(" ",30),30))</f>
        <v xml:space="preserve">      --66</v>
      </c>
    </row>
    <row r="73" spans="1:22">
      <c r="A73" s="59">
        <v>67</v>
      </c>
      <c r="B73" s="93"/>
      <c r="C73" s="92"/>
      <c r="D73" s="33"/>
      <c r="E73" s="33"/>
      <c r="F73" s="33"/>
      <c r="G73" s="33"/>
      <c r="H73" s="33"/>
      <c r="I73" s="93"/>
      <c r="J73" s="93"/>
      <c r="K73" s="19"/>
      <c r="M73" s="23" t="str">
        <f t="shared" si="2"/>
        <v xml:space="preserve">             --67</v>
      </c>
      <c r="V73" s="23" t="str">
        <f t="shared" si="3"/>
        <v xml:space="preserve">      --67</v>
      </c>
    </row>
    <row r="74" spans="1:22">
      <c r="A74" s="59">
        <v>68</v>
      </c>
      <c r="B74" s="93"/>
      <c r="C74" s="92"/>
      <c r="D74" s="33"/>
      <c r="E74" s="33"/>
      <c r="F74" s="33"/>
      <c r="G74" s="33"/>
      <c r="H74" s="33"/>
      <c r="I74" s="93"/>
      <c r="J74" s="93"/>
      <c r="K74" s="19"/>
      <c r="M74" s="23" t="str">
        <f t="shared" si="2"/>
        <v xml:space="preserve">             --68</v>
      </c>
      <c r="V74" s="23" t="str">
        <f t="shared" si="3"/>
        <v xml:space="preserve">      --68</v>
      </c>
    </row>
    <row r="75" spans="1:22">
      <c r="A75" s="59">
        <v>69</v>
      </c>
      <c r="B75" s="93"/>
      <c r="C75" s="92"/>
      <c r="D75" s="33"/>
      <c r="E75" s="33"/>
      <c r="F75" s="33"/>
      <c r="G75" s="33"/>
      <c r="H75" s="33"/>
      <c r="I75" s="93"/>
      <c r="J75" s="93"/>
      <c r="K75" s="19"/>
      <c r="M75" s="23" t="str">
        <f t="shared" si="2"/>
        <v xml:space="preserve">             --69</v>
      </c>
      <c r="V75" s="23" t="str">
        <f t="shared" si="3"/>
        <v xml:space="preserve">      --69</v>
      </c>
    </row>
    <row r="76" spans="1:22">
      <c r="A76" s="59">
        <v>70</v>
      </c>
      <c r="B76" s="93"/>
      <c r="C76" s="92"/>
      <c r="D76" s="33"/>
      <c r="E76" s="33"/>
      <c r="F76" s="33"/>
      <c r="G76" s="33"/>
      <c r="H76" s="33"/>
      <c r="I76" s="93"/>
      <c r="J76" s="93"/>
      <c r="K76" s="19"/>
      <c r="M76" s="23" t="str">
        <f t="shared" si="2"/>
        <v xml:space="preserve">             --70</v>
      </c>
      <c r="V76" s="23" t="str">
        <f t="shared" si="3"/>
        <v xml:space="preserve">      --70</v>
      </c>
    </row>
    <row r="77" spans="1:22">
      <c r="A77" s="59">
        <v>71</v>
      </c>
      <c r="B77" s="93"/>
      <c r="C77" s="92"/>
      <c r="D77" s="33"/>
      <c r="E77" s="33"/>
      <c r="F77" s="36"/>
      <c r="G77" s="33"/>
      <c r="H77" s="33"/>
      <c r="I77" s="93"/>
      <c r="J77" s="93"/>
      <c r="K77" s="19"/>
      <c r="M77" s="23" t="str">
        <f t="shared" si="2"/>
        <v xml:space="preserve">             --71</v>
      </c>
      <c r="V77" s="23" t="str">
        <f t="shared" si="3"/>
        <v xml:space="preserve">      --71</v>
      </c>
    </row>
    <row r="78" spans="1:22">
      <c r="A78" s="59">
        <v>72</v>
      </c>
      <c r="B78" s="93"/>
      <c r="C78" s="92"/>
      <c r="D78" s="33"/>
      <c r="E78" s="33"/>
      <c r="F78" s="33"/>
      <c r="G78" s="33"/>
      <c r="H78" s="33"/>
      <c r="I78" s="93"/>
      <c r="J78" s="93"/>
      <c r="K78" s="19"/>
      <c r="M78" s="23" t="str">
        <f t="shared" si="2"/>
        <v xml:space="preserve">             --72</v>
      </c>
      <c r="V78" s="23" t="str">
        <f t="shared" si="3"/>
        <v xml:space="preserve">      --72</v>
      </c>
    </row>
    <row r="79" spans="1:22">
      <c r="A79" s="59">
        <v>73</v>
      </c>
      <c r="B79" s="93"/>
      <c r="C79" s="92"/>
      <c r="D79" s="33"/>
      <c r="E79" s="33"/>
      <c r="F79" s="36"/>
      <c r="G79" s="33"/>
      <c r="H79" s="33"/>
      <c r="I79" s="93"/>
      <c r="J79" s="93"/>
      <c r="K79" s="19"/>
      <c r="M79" s="23" t="str">
        <f t="shared" si="2"/>
        <v xml:space="preserve">             --73</v>
      </c>
      <c r="V79" s="23" t="str">
        <f t="shared" si="3"/>
        <v xml:space="preserve">      --73</v>
      </c>
    </row>
    <row r="80" spans="1:22">
      <c r="A80" s="59">
        <v>74</v>
      </c>
      <c r="B80" s="93"/>
      <c r="C80" s="92"/>
      <c r="D80" s="33"/>
      <c r="E80" s="33"/>
      <c r="F80" s="33"/>
      <c r="G80" s="33"/>
      <c r="H80" s="33"/>
      <c r="I80" s="93"/>
      <c r="J80" s="93"/>
      <c r="K80" s="19"/>
      <c r="M80" s="23" t="str">
        <f t="shared" si="2"/>
        <v xml:space="preserve">             --74</v>
      </c>
      <c r="V80" s="23" t="str">
        <f t="shared" si="3"/>
        <v xml:space="preserve">      --74</v>
      </c>
    </row>
    <row r="81" spans="1:22">
      <c r="A81" s="59">
        <v>75</v>
      </c>
      <c r="B81" s="93"/>
      <c r="C81" s="92"/>
      <c r="D81" s="33"/>
      <c r="E81" s="33"/>
      <c r="F81" s="33"/>
      <c r="G81" s="33"/>
      <c r="H81" s="33"/>
      <c r="I81" s="93"/>
      <c r="J81" s="93"/>
      <c r="K81" s="19"/>
      <c r="M81" s="23" t="str">
        <f t="shared" si="2"/>
        <v xml:space="preserve">             --75</v>
      </c>
      <c r="V81" s="23" t="str">
        <f t="shared" si="3"/>
        <v xml:space="preserve">      --75</v>
      </c>
    </row>
    <row r="82" spans="1:22">
      <c r="A82" s="59">
        <v>76</v>
      </c>
      <c r="B82" s="93"/>
      <c r="C82" s="92"/>
      <c r="D82" s="33"/>
      <c r="E82" s="33"/>
      <c r="F82" s="33"/>
      <c r="G82" s="33"/>
      <c r="H82" s="33"/>
      <c r="I82" s="93"/>
      <c r="J82" s="93"/>
      <c r="K82" s="19"/>
      <c r="M82" s="23" t="str">
        <f t="shared" si="2"/>
        <v xml:space="preserve">             --76</v>
      </c>
      <c r="V82" s="23" t="str">
        <f t="shared" si="3"/>
        <v xml:space="preserve">      --76</v>
      </c>
    </row>
    <row r="83" spans="1:22">
      <c r="A83" s="59">
        <v>77</v>
      </c>
      <c r="B83" s="93"/>
      <c r="C83" s="92"/>
      <c r="D83" s="33"/>
      <c r="E83" s="33"/>
      <c r="F83" s="33"/>
      <c r="G83" s="33"/>
      <c r="H83" s="33"/>
      <c r="I83" s="93"/>
      <c r="J83" s="93"/>
      <c r="K83" s="19"/>
      <c r="M83" s="23" t="str">
        <f t="shared" si="2"/>
        <v xml:space="preserve">             --77</v>
      </c>
      <c r="V83" s="23" t="str">
        <f t="shared" si="3"/>
        <v xml:space="preserve">      --77</v>
      </c>
    </row>
    <row r="84" spans="1:22">
      <c r="A84" s="59">
        <v>78</v>
      </c>
      <c r="B84" s="93"/>
      <c r="C84" s="92"/>
      <c r="D84" s="33"/>
      <c r="E84" s="33"/>
      <c r="F84" s="33"/>
      <c r="G84" s="33"/>
      <c r="H84" s="33"/>
      <c r="I84" s="93"/>
      <c r="J84" s="93"/>
      <c r="K84" s="19"/>
      <c r="M84" s="23" t="str">
        <f t="shared" si="2"/>
        <v xml:space="preserve">             --78</v>
      </c>
      <c r="V84" s="23" t="str">
        <f t="shared" si="3"/>
        <v xml:space="preserve">      --78</v>
      </c>
    </row>
    <row r="85" spans="1:22">
      <c r="A85" s="59">
        <v>79</v>
      </c>
      <c r="B85" s="93"/>
      <c r="C85" s="92"/>
      <c r="D85" s="33"/>
      <c r="E85" s="33"/>
      <c r="F85" s="33"/>
      <c r="G85" s="33"/>
      <c r="H85" s="33"/>
      <c r="I85" s="93"/>
      <c r="J85" s="93"/>
      <c r="K85" s="19"/>
      <c r="M85" s="23" t="str">
        <f t="shared" si="2"/>
        <v xml:space="preserve">             --79</v>
      </c>
      <c r="V85" s="23" t="str">
        <f t="shared" si="3"/>
        <v xml:space="preserve">      --79</v>
      </c>
    </row>
    <row r="86" spans="1:22">
      <c r="A86" s="59">
        <v>80</v>
      </c>
      <c r="B86" s="93"/>
      <c r="C86" s="92"/>
      <c r="D86" s="33"/>
      <c r="E86" s="33"/>
      <c r="F86" s="33"/>
      <c r="G86" s="33"/>
      <c r="H86" s="33"/>
      <c r="I86" s="93"/>
      <c r="J86" s="93"/>
      <c r="K86" s="19"/>
      <c r="M86" s="23" t="str">
        <f t="shared" si="2"/>
        <v xml:space="preserve">             --80</v>
      </c>
      <c r="V86" s="23" t="str">
        <f t="shared" si="3"/>
        <v xml:space="preserve">      --80</v>
      </c>
    </row>
    <row r="87" spans="1:22">
      <c r="A87" s="59">
        <v>81</v>
      </c>
      <c r="B87" s="93"/>
      <c r="C87" s="92"/>
      <c r="D87" s="33"/>
      <c r="E87" s="33"/>
      <c r="F87" s="33"/>
      <c r="G87" s="33"/>
      <c r="H87" s="33"/>
      <c r="I87" s="93"/>
      <c r="J87" s="93"/>
      <c r="K87" s="19"/>
      <c r="M87" s="23" t="str">
        <f t="shared" si="2"/>
        <v xml:space="preserve">             --81</v>
      </c>
      <c r="V87" s="23" t="str">
        <f t="shared" si="3"/>
        <v xml:space="preserve">      --81</v>
      </c>
    </row>
    <row r="88" spans="1:22">
      <c r="A88" s="59">
        <v>82</v>
      </c>
      <c r="B88" s="93"/>
      <c r="C88" s="92"/>
      <c r="D88" s="33"/>
      <c r="E88" s="33"/>
      <c r="F88" s="33"/>
      <c r="G88" s="33"/>
      <c r="H88" s="33"/>
      <c r="I88" s="93"/>
      <c r="J88" s="93"/>
      <c r="K88" s="19"/>
      <c r="M88" s="23" t="str">
        <f t="shared" si="2"/>
        <v xml:space="preserve">             --82</v>
      </c>
      <c r="V88" s="23" t="str">
        <f t="shared" si="3"/>
        <v xml:space="preserve">      --82</v>
      </c>
    </row>
    <row r="89" spans="1:22">
      <c r="A89" s="59">
        <v>83</v>
      </c>
      <c r="B89" s="93"/>
      <c r="C89" s="92"/>
      <c r="D89" s="33"/>
      <c r="E89" s="33"/>
      <c r="F89" s="33"/>
      <c r="G89" s="33"/>
      <c r="H89" s="33"/>
      <c r="I89" s="93"/>
      <c r="J89" s="93"/>
      <c r="K89" s="19"/>
      <c r="M89" s="23" t="str">
        <f t="shared" si="2"/>
        <v xml:space="preserve">             --83</v>
      </c>
      <c r="V89" s="23" t="str">
        <f t="shared" si="3"/>
        <v xml:space="preserve">      --83</v>
      </c>
    </row>
    <row r="90" spans="1:22">
      <c r="A90" s="59">
        <v>84</v>
      </c>
      <c r="B90" s="93"/>
      <c r="C90" s="92"/>
      <c r="D90" s="33"/>
      <c r="E90" s="33"/>
      <c r="F90" s="33"/>
      <c r="G90" s="33"/>
      <c r="H90" s="33"/>
      <c r="I90" s="93"/>
      <c r="J90" s="93"/>
      <c r="K90" s="19"/>
      <c r="M90" s="23" t="str">
        <f t="shared" si="2"/>
        <v xml:space="preserve">             --84</v>
      </c>
      <c r="V90" s="23" t="str">
        <f t="shared" si="3"/>
        <v xml:space="preserve">      --84</v>
      </c>
    </row>
    <row r="91" spans="1:22">
      <c r="A91" s="59">
        <v>85</v>
      </c>
      <c r="B91" s="93"/>
      <c r="C91" s="92"/>
      <c r="D91" s="33"/>
      <c r="E91" s="33"/>
      <c r="F91" s="33"/>
      <c r="G91" s="33"/>
      <c r="H91" s="33"/>
      <c r="I91" s="93"/>
      <c r="J91" s="93"/>
      <c r="K91" s="19"/>
      <c r="M91" s="23" t="str">
        <f t="shared" si="2"/>
        <v xml:space="preserve">             --85</v>
      </c>
      <c r="V91" s="23" t="str">
        <f t="shared" si="3"/>
        <v xml:space="preserve">      --85</v>
      </c>
    </row>
    <row r="92" spans="1:22">
      <c r="A92" s="59">
        <v>86</v>
      </c>
      <c r="B92" s="93"/>
      <c r="C92" s="92"/>
      <c r="D92" s="33"/>
      <c r="E92" s="33"/>
      <c r="F92" s="33"/>
      <c r="G92" s="33"/>
      <c r="H92" s="33"/>
      <c r="I92" s="93"/>
      <c r="J92" s="93"/>
      <c r="K92" s="19"/>
      <c r="M92" s="23" t="str">
        <f t="shared" si="2"/>
        <v xml:space="preserve">             --86</v>
      </c>
      <c r="V92" s="23" t="str">
        <f t="shared" si="3"/>
        <v xml:space="preserve">      --86</v>
      </c>
    </row>
    <row r="93" spans="1:22">
      <c r="A93" s="59">
        <v>87</v>
      </c>
      <c r="B93" s="93"/>
      <c r="C93" s="92"/>
      <c r="D93" s="33"/>
      <c r="E93" s="33"/>
      <c r="F93" s="33"/>
      <c r="G93" s="33"/>
      <c r="H93" s="33"/>
      <c r="I93" s="93"/>
      <c r="J93" s="93"/>
      <c r="K93" s="19"/>
      <c r="M93" s="23" t="str">
        <f t="shared" si="2"/>
        <v xml:space="preserve">             --87</v>
      </c>
      <c r="V93" s="23" t="str">
        <f t="shared" si="3"/>
        <v xml:space="preserve">      --87</v>
      </c>
    </row>
    <row r="94" spans="1:22">
      <c r="A94" s="59">
        <v>88</v>
      </c>
      <c r="B94" s="93"/>
      <c r="C94" s="92"/>
      <c r="D94" s="33"/>
      <c r="E94" s="33"/>
      <c r="F94" s="33"/>
      <c r="G94" s="33"/>
      <c r="H94" s="33"/>
      <c r="I94" s="93"/>
      <c r="J94" s="93"/>
      <c r="K94" s="19"/>
      <c r="M94" s="23" t="str">
        <f t="shared" si="2"/>
        <v xml:space="preserve">             --88</v>
      </c>
      <c r="V94" s="23" t="str">
        <f t="shared" si="3"/>
        <v xml:space="preserve">      --88</v>
      </c>
    </row>
    <row r="95" spans="1:22">
      <c r="A95" s="59">
        <v>89</v>
      </c>
      <c r="B95" s="93"/>
      <c r="C95" s="92"/>
      <c r="D95" s="33"/>
      <c r="E95" s="33"/>
      <c r="F95" s="33"/>
      <c r="G95" s="33"/>
      <c r="H95" s="33"/>
      <c r="I95" s="93"/>
      <c r="J95" s="93"/>
      <c r="K95" s="19"/>
      <c r="M95" s="23" t="str">
        <f t="shared" si="2"/>
        <v xml:space="preserve">             --89</v>
      </c>
      <c r="V95" s="23" t="str">
        <f t="shared" si="3"/>
        <v xml:space="preserve">      --89</v>
      </c>
    </row>
    <row r="96" spans="1:22">
      <c r="A96" s="59">
        <v>90</v>
      </c>
      <c r="B96" s="93"/>
      <c r="C96" s="92"/>
      <c r="D96" s="33"/>
      <c r="E96" s="33"/>
      <c r="F96" s="33"/>
      <c r="G96" s="33"/>
      <c r="H96" s="33"/>
      <c r="I96" s="93"/>
      <c r="J96" s="93"/>
      <c r="K96" s="19"/>
      <c r="M96" s="23" t="str">
        <f t="shared" si="2"/>
        <v xml:space="preserve">             --90</v>
      </c>
      <c r="V96" s="23" t="str">
        <f t="shared" si="3"/>
        <v xml:space="preserve">      --90</v>
      </c>
    </row>
    <row r="97" spans="1:22">
      <c r="A97" s="59">
        <v>91</v>
      </c>
      <c r="B97" s="93"/>
      <c r="C97" s="92"/>
      <c r="D97" s="33"/>
      <c r="E97" s="33"/>
      <c r="F97" s="36"/>
      <c r="G97" s="33"/>
      <c r="H97" s="33"/>
      <c r="I97" s="93"/>
      <c r="J97" s="93"/>
      <c r="K97" s="19"/>
      <c r="M97" s="23" t="str">
        <f t="shared" si="2"/>
        <v xml:space="preserve">             --91</v>
      </c>
      <c r="V97" s="23" t="str">
        <f t="shared" si="3"/>
        <v xml:space="preserve">      --91</v>
      </c>
    </row>
    <row r="98" spans="1:22">
      <c r="A98" s="59">
        <v>92</v>
      </c>
      <c r="B98" s="2"/>
      <c r="C98" s="2"/>
      <c r="D98" s="33"/>
      <c r="E98" s="33"/>
      <c r="F98" s="33"/>
      <c r="G98" s="33"/>
      <c r="H98" s="33"/>
      <c r="I98" s="93"/>
      <c r="J98" s="93"/>
      <c r="K98" s="19"/>
      <c r="M98" s="23" t="str">
        <f t="shared" si="2"/>
        <v xml:space="preserve">             --92</v>
      </c>
      <c r="V98" s="23" t="str">
        <f t="shared" si="3"/>
        <v xml:space="preserve">      --92</v>
      </c>
    </row>
    <row r="99" spans="1:22">
      <c r="A99" s="59">
        <v>93</v>
      </c>
      <c r="B99" s="2"/>
      <c r="C99" s="2"/>
      <c r="D99" s="33"/>
      <c r="E99" s="33"/>
      <c r="F99" s="33"/>
      <c r="G99" s="33"/>
      <c r="H99" s="33"/>
      <c r="I99" s="33"/>
      <c r="J99" s="33"/>
      <c r="K99" s="19"/>
      <c r="M99" s="23" t="str">
        <f t="shared" si="2"/>
        <v xml:space="preserve">             --93</v>
      </c>
      <c r="V99" s="23" t="str">
        <f t="shared" si="3"/>
        <v xml:space="preserve">      --93</v>
      </c>
    </row>
    <row r="100" spans="1:22">
      <c r="A100" s="59">
        <v>94</v>
      </c>
      <c r="B100" s="93"/>
      <c r="C100" s="92"/>
      <c r="D100" s="33"/>
      <c r="E100" s="33"/>
      <c r="F100" s="33"/>
      <c r="G100" s="33"/>
      <c r="H100" s="33"/>
      <c r="I100" s="33"/>
      <c r="J100" s="33"/>
      <c r="K100" s="19"/>
      <c r="M100" s="23" t="str">
        <f t="shared" si="2"/>
        <v xml:space="preserve">             --94</v>
      </c>
      <c r="V100" s="23" t="str">
        <f t="shared" si="3"/>
        <v xml:space="preserve">      --94</v>
      </c>
    </row>
    <row r="101" spans="1:22">
      <c r="A101" s="59">
        <v>95</v>
      </c>
      <c r="B101" s="2"/>
      <c r="C101" s="2"/>
      <c r="D101" s="33"/>
      <c r="E101" s="33"/>
      <c r="F101" s="33"/>
      <c r="G101" s="33"/>
      <c r="H101" s="33"/>
      <c r="I101" s="93"/>
      <c r="J101" s="93"/>
      <c r="K101" s="19"/>
      <c r="M101" s="23" t="str">
        <f t="shared" si="2"/>
        <v xml:space="preserve">             --95</v>
      </c>
      <c r="V101" s="23" t="str">
        <f t="shared" si="3"/>
        <v xml:space="preserve">      --95</v>
      </c>
    </row>
    <row r="102" spans="1:22">
      <c r="A102" s="59">
        <v>96</v>
      </c>
      <c r="B102" s="2"/>
      <c r="C102" s="97"/>
      <c r="D102" s="38"/>
      <c r="E102" s="39"/>
      <c r="F102" s="40"/>
      <c r="G102" s="44"/>
      <c r="H102" s="42"/>
      <c r="I102" s="41"/>
      <c r="J102" s="41"/>
      <c r="K102" s="43"/>
      <c r="M102" s="23" t="str">
        <f t="shared" si="2"/>
        <v xml:space="preserve">             --96</v>
      </c>
      <c r="V102" s="23" t="str">
        <f t="shared" si="3"/>
        <v xml:space="preserve">      --96</v>
      </c>
    </row>
    <row r="103" spans="1:22">
      <c r="A103" s="59">
        <v>97</v>
      </c>
      <c r="B103" s="2"/>
      <c r="C103" s="2"/>
      <c r="D103" s="33"/>
      <c r="E103" s="46"/>
      <c r="F103" s="33"/>
      <c r="G103" s="33"/>
      <c r="H103" s="33"/>
      <c r="I103" s="33"/>
      <c r="J103" s="33"/>
      <c r="K103" s="19"/>
      <c r="M103" s="23" t="str">
        <f t="shared" si="2"/>
        <v xml:space="preserve">             --97</v>
      </c>
      <c r="V103" s="23" t="str">
        <f t="shared" si="3"/>
        <v xml:space="preserve">      --97</v>
      </c>
    </row>
    <row r="104" spans="1:22">
      <c r="A104" s="59">
        <v>98</v>
      </c>
      <c r="B104" s="2"/>
      <c r="C104" s="2"/>
      <c r="D104" s="33"/>
      <c r="E104" s="46"/>
      <c r="F104" s="33"/>
      <c r="G104" s="33"/>
      <c r="H104" s="33"/>
      <c r="I104" s="33"/>
      <c r="J104" s="33"/>
      <c r="K104" s="19"/>
      <c r="M104" s="23" t="str">
        <f t="shared" si="2"/>
        <v xml:space="preserve">             --98</v>
      </c>
      <c r="V104" s="23" t="str">
        <f t="shared" si="3"/>
        <v xml:space="preserve">      --98</v>
      </c>
    </row>
    <row r="105" spans="1:22">
      <c r="A105" s="59">
        <v>99</v>
      </c>
      <c r="B105" s="2"/>
      <c r="C105" s="2"/>
      <c r="D105" s="33"/>
      <c r="E105" s="46"/>
      <c r="F105" s="36"/>
      <c r="G105" s="33"/>
      <c r="H105" s="33"/>
      <c r="I105" s="93"/>
      <c r="J105" s="93"/>
      <c r="K105" s="19"/>
      <c r="M105" s="23" t="str">
        <f t="shared" si="2"/>
        <v xml:space="preserve">             --99</v>
      </c>
      <c r="V105" s="23" t="str">
        <f t="shared" si="3"/>
        <v xml:space="preserve">      --99</v>
      </c>
    </row>
    <row r="106" spans="1:22">
      <c r="A106" s="59">
        <v>100</v>
      </c>
      <c r="B106" s="97"/>
      <c r="C106" s="91"/>
      <c r="D106" s="33"/>
      <c r="E106" s="46"/>
      <c r="F106" s="33"/>
      <c r="G106" s="33"/>
      <c r="H106" s="33"/>
      <c r="I106" s="93"/>
      <c r="J106" s="93"/>
      <c r="K106" s="19"/>
      <c r="M106" s="23" t="str">
        <f t="shared" si="2"/>
        <v xml:space="preserve">             --100</v>
      </c>
      <c r="V106" s="23" t="str">
        <f t="shared" si="3"/>
        <v xml:space="preserve">      --100</v>
      </c>
    </row>
    <row r="107" spans="1:22">
      <c r="A107" s="30"/>
      <c r="B107" s="27"/>
      <c r="C107" s="27"/>
      <c r="D107" s="30"/>
      <c r="E107" s="30"/>
      <c r="F107" s="27"/>
      <c r="G107" s="27"/>
      <c r="H107" s="27"/>
      <c r="I107" s="27"/>
      <c r="J107" s="27"/>
      <c r="K107" s="27"/>
      <c r="M107" s="23"/>
    </row>
    <row r="108" spans="1:22">
      <c r="B108" s="20" t="s">
        <v>2</v>
      </c>
      <c r="M108" s="24" t="str">
        <f>REPT(" ",13)&amp;IF(ISBLANK($G7),"--","")&amp;"CONSTRAINT   " &amp; "idx_" &amp; $C$3 &amp; "_pk  PRIMARY KEY CLUSTERED ("</f>
        <v xml:space="preserve">             --CONSTRAINT   idx_Screen_pk  PRIMARY KEY CLUSTERED (</v>
      </c>
    </row>
    <row r="109" spans="1:22">
      <c r="B109" s="59" t="s">
        <v>5</v>
      </c>
      <c r="C109" s="59" t="s">
        <v>3</v>
      </c>
      <c r="D109" s="59" t="s">
        <v>4</v>
      </c>
      <c r="M109" s="18" t="str">
        <f>REPT(" ",25)&amp;IF($G7="","--"&amp;$A7,"")&amp;IF($G7&lt;&gt;"",IF(LEFT(TRIM($M108),10)="CONSTRAINT"," ",",") &amp; TRIM($B7),"")</f>
        <v xml:space="preserve">                         --1</v>
      </c>
    </row>
    <row r="110" spans="1:22">
      <c r="B110" s="21"/>
      <c r="C110" s="34"/>
      <c r="D110" s="59"/>
      <c r="M110" s="24" t="str">
        <f t="shared" ref="M110:M117" si="4">REPT(" ",25)&amp;IF($G8="","--"&amp;$A8,"")&amp;IF($G8&lt;&gt;"",IF(LEFT(TRIM($M109),10)="CONSTRAINT"," ",",") &amp; TRIM($B8),"")</f>
        <v xml:space="preserve">                         --2</v>
      </c>
    </row>
    <row r="111" spans="1:22">
      <c r="B111" s="21"/>
      <c r="C111" s="97"/>
      <c r="D111" s="21"/>
      <c r="G111" s="29"/>
      <c r="M111" s="24" t="str">
        <f t="shared" si="4"/>
        <v xml:space="preserve">                         --3</v>
      </c>
    </row>
    <row r="112" spans="1:22">
      <c r="B112" s="31"/>
      <c r="C112" s="97"/>
      <c r="D112" s="21"/>
      <c r="G112" s="29"/>
      <c r="M112" s="24" t="str">
        <f t="shared" si="4"/>
        <v xml:space="preserve">                         --4</v>
      </c>
    </row>
    <row r="113" spans="2:17">
      <c r="B113" s="31"/>
      <c r="C113" s="97"/>
      <c r="D113" s="21"/>
      <c r="G113" s="29"/>
      <c r="M113" s="24" t="str">
        <f t="shared" si="4"/>
        <v xml:space="preserve">                         --5</v>
      </c>
    </row>
    <row r="114" spans="2:17">
      <c r="B114" s="31"/>
      <c r="C114" s="97"/>
      <c r="D114" s="21"/>
      <c r="M114" s="24" t="str">
        <f t="shared" si="4"/>
        <v xml:space="preserve">                         --6</v>
      </c>
    </row>
    <row r="115" spans="2:17">
      <c r="B115" s="21"/>
      <c r="C115" s="97"/>
      <c r="D115" s="59"/>
      <c r="M115" s="24" t="str">
        <f t="shared" si="4"/>
        <v xml:space="preserve">                         --7</v>
      </c>
    </row>
    <row r="116" spans="2:17">
      <c r="B116" s="21"/>
      <c r="C116" s="97"/>
      <c r="D116" s="59"/>
      <c r="M116" s="24" t="str">
        <f t="shared" si="4"/>
        <v xml:space="preserve">                         --8</v>
      </c>
    </row>
    <row r="117" spans="2:17">
      <c r="B117" s="21"/>
      <c r="C117" s="97"/>
      <c r="D117" s="59"/>
      <c r="M117" s="24" t="str">
        <f t="shared" si="4"/>
        <v xml:space="preserve">                         --9</v>
      </c>
    </row>
    <row r="118" spans="2:17">
      <c r="M118" s="24" t="str">
        <f>REPT(" ",25)&amp;IF($G16="","--"&amp;$A16,"")&amp;IF($G16&lt;&gt;"",IF(LEFT(TRIM($M117),10)="CONSTRAINT"," ",",") &amp; TRIM($B16),"")</f>
        <v xml:space="preserve">                         --10</v>
      </c>
    </row>
    <row r="119" spans="2:17">
      <c r="B119" s="20" t="s">
        <v>0</v>
      </c>
      <c r="M119" s="61" t="s">
        <v>272</v>
      </c>
    </row>
    <row r="120" spans="2:17">
      <c r="M120" s="26"/>
    </row>
    <row r="121" spans="2:17">
      <c r="M121" s="18" t="str">
        <f>IF(OR(TRIM(UPPER($I$5))="",TRIM(UPPER($I$5))="DEFAULT"),"","ALTER  TABLE  "&amp;$C$3&amp;"  STORAGE  (BUFFER_POOL  "&amp;UPPER($I$5)&amp;");  --KEEP | RECYCLE | DEFAULT")</f>
        <v/>
      </c>
    </row>
    <row r="122" spans="2:17">
      <c r="M122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'화면',                                                          'schema', 'dbo', 'table', 'Screen';                  -- 테이블</v>
      </c>
      <c r="Q122" s="25"/>
    </row>
    <row r="123" spans="2:17">
      <c r="M123" s="24" t="str">
        <f>IF(TRIM($B7)="","-- "&amp;$A7&amp;",",IF(LEFT($B7,2)="--","-- "&amp;$A7&amp;",","")&amp;"EXEC sp_addextendedproperty 'MS_Description', '"&amp;TRIM($C7)&amp;IF($K7="","","("&amp;$K7&amp;")")&amp;"', "&amp;REPT(" ",60-LENB(TRIM($C7)&amp;IF($K7="","","("&amp;$K7&amp;")")))&amp;" 'schema', 'dbo', N'table', '"&amp;TRIM($C$3)&amp;"', 'column', '"&amp;TRIM($B7)&amp;"';"&amp;REPT(" ",20-LENB(TRIM($B7)))&amp;"-- 컬럼")</f>
        <v>EXEC sp_addextendedproperty 'MS_Description', '상점번호',                                                      'schema', 'dbo', N'table', 'Screen', 'column', 'storeNumber';         -- 컬럼</v>
      </c>
      <c r="Q123" s="25"/>
    </row>
    <row r="124" spans="2:17">
      <c r="M124" s="24" t="str">
        <f t="shared" ref="M124:M187" si="5">IF(TRIM($B8)="","-- "&amp;$A8&amp;",",IF(LEFT($B8,2)="--","-- "&amp;$A8&amp;",","")&amp;"EXEC sp_addextendedproperty 'MS_Description', '"&amp;TRIM($C8)&amp;IF($K8="","","("&amp;$K8&amp;")")&amp;"', "&amp;REPT(" ",60-LENB(TRIM($C8)&amp;IF($K8="","","("&amp;$K8&amp;")")))&amp;" 'schema', 'dbo', N'table', '"&amp;TRIM($C$3)&amp;"', 'column', '"&amp;TRIM($B8)&amp;"';"&amp;REPT(" ",20-LENB(TRIM($B8)))&amp;"-- 컬럼")</f>
        <v>EXEC sp_addextendedproperty 'MS_Description', '상점명(AES256)',                                                'schema', 'dbo', N'table', 'Screen', 'column', 'storeName';           -- 컬럼</v>
      </c>
      <c r="Q124" s="25"/>
    </row>
    <row r="125" spans="2:17">
      <c r="M125" s="24" t="str">
        <f t="shared" si="5"/>
        <v>EXEC sp_addextendedproperty 'MS_Description', '판매자명(AES256)',                                              'schema', 'dbo', N'table', 'Screen', 'column', 'sellerName';          -- 컬럼</v>
      </c>
      <c r="Q125" s="25"/>
    </row>
    <row r="126" spans="2:17">
      <c r="M126" s="24" t="str">
        <f t="shared" si="5"/>
        <v>EXEC sp_addextendedproperty 'MS_Description', '별명(AES256)',                                                  'schema', 'dbo', N'table', 'Screen', 'column', 'nickName';            -- 컬럼</v>
      </c>
      <c r="Q126" s="25"/>
    </row>
    <row r="127" spans="2:17">
      <c r="M127" s="24" t="str">
        <f t="shared" si="5"/>
        <v>EXEC sp_addextendedproperty 'MS_Description', '전화번호(AES256)',                                              'schema', 'dbo', N'table', 'Screen', 'column', 'phoneNumber';         -- 컬럼</v>
      </c>
      <c r="Q127" s="25"/>
    </row>
    <row r="128" spans="2:17">
      <c r="M128" s="24" t="str">
        <f t="shared" si="5"/>
        <v>EXEC sp_addextendedproperty 'MS_Description', '이메일주소(AES256)',                                            'schema', 'dbo', N'table', 'Screen', 'column', 'emailAddress';        -- 컬럼</v>
      </c>
      <c r="Q128" s="25"/>
    </row>
    <row r="129" spans="13:17">
      <c r="M129" s="24" t="str">
        <f t="shared" si="5"/>
        <v>EXEC sp_addextendedproperty 'MS_Description', '우편번호(지번)(AES256)',                                        'schema', 'dbo', N'table', 'Screen', 'column', 'zipCode';             -- 컬럼</v>
      </c>
      <c r="Q129" s="25"/>
    </row>
    <row r="130" spans="13:17">
      <c r="M130" s="24" t="str">
        <f t="shared" si="5"/>
        <v>EXEC sp_addextendedproperty 'MS_Description', '우편번호(도로명)(AES256)',                                      'schema', 'dbo', N'table', 'Screen', 'column', 'postalCode';          -- 컬럼</v>
      </c>
      <c r="Q130" s="25"/>
    </row>
    <row r="131" spans="13:17">
      <c r="M131" s="24" t="str">
        <f t="shared" si="5"/>
        <v>EXEC sp_addextendedproperty 'MS_Description', '기본주소(AES256)',                                              'schema', 'dbo', N'table', 'Screen', 'column', 'baseAddress';         -- 컬럼</v>
      </c>
      <c r="Q131" s="25"/>
    </row>
    <row r="132" spans="13:17">
      <c r="M132" s="24" t="str">
        <f t="shared" si="5"/>
        <v>EXEC sp_addextendedproperty 'MS_Description', '판매가능지역(AES256, 읍면동)',                                  'schema', 'dbo', N'table', 'Screen', 'column', 'availableArea';       -- 컬럼</v>
      </c>
      <c r="Q132" s="25"/>
    </row>
    <row r="133" spans="13:17">
      <c r="M133" s="24" t="str">
        <f t="shared" si="5"/>
        <v>EXEC sp_addextendedproperty 'MS_Description', '사용여부(Y,N)',                                                 'schema', 'dbo', N'table', 'Screen', 'column', 'useAt';               -- 컬럼</v>
      </c>
      <c r="Q133" s="25"/>
    </row>
    <row r="134" spans="13:17">
      <c r="M134" s="24" t="str">
        <f t="shared" si="5"/>
        <v>EXEC sp_addextendedproperty 'MS_Description', '삭제여부(Y,N)',                                                 'schema', 'dbo', N'table', 'Screen', 'column', 'delAt';               -- 컬럼</v>
      </c>
      <c r="Q134" s="25"/>
    </row>
    <row r="135" spans="13:17">
      <c r="M135" s="24" t="str">
        <f t="shared" si="5"/>
        <v>EXEC sp_addextendedproperty 'MS_Description', '생성자',                                                        'schema', 'dbo', N'table', 'Screen', 'column', 'createId';            -- 컬럼</v>
      </c>
      <c r="Q135" s="25"/>
    </row>
    <row r="136" spans="13:17">
      <c r="M136" s="24" t="str">
        <f t="shared" si="5"/>
        <v>EXEC sp_addextendedproperty 'MS_Description', '생성 일시',                                                     'schema', 'dbo', N'table', 'Screen', 'column', 'createDate';          -- 컬럼</v>
      </c>
      <c r="Q136" s="25"/>
    </row>
    <row r="137" spans="13:17">
      <c r="M137" s="24" t="str">
        <f t="shared" si="5"/>
        <v>EXEC sp_addextendedproperty 'MS_Description', '수정자',                                                        'schema', 'dbo', N'table', 'Screen', 'column', 'updateId';            -- 컬럼</v>
      </c>
      <c r="Q137" s="25"/>
    </row>
    <row r="138" spans="13:17">
      <c r="M138" s="24" t="str">
        <f t="shared" si="5"/>
        <v>EXEC sp_addextendedproperty 'MS_Description', '갱신 일시',                                                     'schema', 'dbo', N'table', 'Screen', 'column', 'updateDate';          -- 컬럼</v>
      </c>
      <c r="Q138" s="25"/>
    </row>
    <row r="139" spans="13:17">
      <c r="M139" s="24" t="str">
        <f t="shared" si="5"/>
        <v>-- 17,</v>
      </c>
      <c r="Q139" s="25"/>
    </row>
    <row r="140" spans="13:17">
      <c r="M140" s="24" t="str">
        <f t="shared" si="5"/>
        <v>-- 18,</v>
      </c>
      <c r="Q140" s="25"/>
    </row>
    <row r="141" spans="13:17">
      <c r="M141" s="24" t="str">
        <f t="shared" si="5"/>
        <v>-- 19,</v>
      </c>
      <c r="Q141" s="25"/>
    </row>
    <row r="142" spans="13:17">
      <c r="M142" s="24" t="str">
        <f t="shared" si="5"/>
        <v>-- 20,</v>
      </c>
      <c r="Q142" s="25"/>
    </row>
    <row r="143" spans="13:17">
      <c r="M143" s="24" t="str">
        <f t="shared" si="5"/>
        <v>-- 21,</v>
      </c>
      <c r="Q143" s="25"/>
    </row>
    <row r="144" spans="13:17">
      <c r="M144" s="24" t="str">
        <f t="shared" si="5"/>
        <v>-- 22,</v>
      </c>
      <c r="Q144" s="25"/>
    </row>
    <row r="145" spans="13:17">
      <c r="M145" s="24" t="str">
        <f t="shared" si="5"/>
        <v>-- 23,</v>
      </c>
      <c r="Q145" s="25"/>
    </row>
    <row r="146" spans="13:17">
      <c r="M146" s="24" t="str">
        <f t="shared" si="5"/>
        <v>-- 24,</v>
      </c>
      <c r="Q146" s="25"/>
    </row>
    <row r="147" spans="13:17">
      <c r="M147" s="24" t="str">
        <f t="shared" si="5"/>
        <v>-- 25,</v>
      </c>
      <c r="Q147" s="25"/>
    </row>
    <row r="148" spans="13:17">
      <c r="M148" s="24" t="str">
        <f t="shared" si="5"/>
        <v>-- 26,</v>
      </c>
      <c r="Q148" s="25"/>
    </row>
    <row r="149" spans="13:17">
      <c r="M149" s="24" t="str">
        <f t="shared" si="5"/>
        <v>-- 27,</v>
      </c>
      <c r="Q149" s="25"/>
    </row>
    <row r="150" spans="13:17">
      <c r="M150" s="24" t="str">
        <f t="shared" si="5"/>
        <v>-- 28,</v>
      </c>
      <c r="Q150" s="25"/>
    </row>
    <row r="151" spans="13:17">
      <c r="M151" s="24" t="str">
        <f t="shared" si="5"/>
        <v>-- 29,</v>
      </c>
      <c r="Q151" s="25"/>
    </row>
    <row r="152" spans="13:17">
      <c r="M152" s="24" t="str">
        <f t="shared" si="5"/>
        <v>-- 30,</v>
      </c>
      <c r="Q152" s="25"/>
    </row>
    <row r="153" spans="13:17">
      <c r="M153" s="24" t="str">
        <f t="shared" si="5"/>
        <v>-- 31,</v>
      </c>
      <c r="Q153" s="25"/>
    </row>
    <row r="154" spans="13:17">
      <c r="M154" s="24" t="str">
        <f t="shared" si="5"/>
        <v>-- 32,</v>
      </c>
      <c r="Q154" s="25"/>
    </row>
    <row r="155" spans="13:17">
      <c r="M155" s="24" t="str">
        <f t="shared" si="5"/>
        <v>-- 33,</v>
      </c>
      <c r="Q155" s="25"/>
    </row>
    <row r="156" spans="13:17">
      <c r="M156" s="24" t="str">
        <f t="shared" si="5"/>
        <v>-- 34,</v>
      </c>
      <c r="Q156" s="25"/>
    </row>
    <row r="157" spans="13:17">
      <c r="M157" s="24" t="str">
        <f t="shared" si="5"/>
        <v>-- 35,</v>
      </c>
      <c r="Q157" s="25"/>
    </row>
    <row r="158" spans="13:17">
      <c r="M158" s="24" t="str">
        <f t="shared" si="5"/>
        <v>-- 36,</v>
      </c>
      <c r="Q158" s="25"/>
    </row>
    <row r="159" spans="13:17">
      <c r="M159" s="24" t="str">
        <f t="shared" si="5"/>
        <v>-- 37,</v>
      </c>
      <c r="Q159" s="25"/>
    </row>
    <row r="160" spans="13:17">
      <c r="M160" s="24" t="str">
        <f t="shared" si="5"/>
        <v>-- 38,</v>
      </c>
      <c r="Q160" s="25"/>
    </row>
    <row r="161" spans="12:17">
      <c r="M161" s="24" t="str">
        <f t="shared" si="5"/>
        <v>-- 39,</v>
      </c>
      <c r="Q161" s="25"/>
    </row>
    <row r="162" spans="12:17">
      <c r="M162" s="24" t="str">
        <f t="shared" si="5"/>
        <v>-- 40,</v>
      </c>
      <c r="Q162" s="25"/>
    </row>
    <row r="163" spans="12:17">
      <c r="M163" s="24" t="str">
        <f t="shared" si="5"/>
        <v>-- 41,</v>
      </c>
      <c r="Q163" s="25"/>
    </row>
    <row r="164" spans="12:17">
      <c r="M164" s="24" t="str">
        <f t="shared" si="5"/>
        <v>-- 42,</v>
      </c>
      <c r="Q164" s="25"/>
    </row>
    <row r="165" spans="12:17">
      <c r="M165" s="24" t="str">
        <f t="shared" si="5"/>
        <v>-- 43,</v>
      </c>
      <c r="Q165" s="25"/>
    </row>
    <row r="166" spans="12:17">
      <c r="M166" s="24" t="str">
        <f t="shared" si="5"/>
        <v>-- 44,</v>
      </c>
      <c r="Q166" s="25"/>
    </row>
    <row r="167" spans="12:17">
      <c r="M167" s="24" t="str">
        <f t="shared" si="5"/>
        <v>-- 45,</v>
      </c>
      <c r="Q167" s="25"/>
    </row>
    <row r="168" spans="12:17">
      <c r="M168" s="24" t="str">
        <f t="shared" si="5"/>
        <v>-- 46,</v>
      </c>
      <c r="Q168" s="25"/>
    </row>
    <row r="169" spans="12:17">
      <c r="M169" s="24" t="str">
        <f t="shared" si="5"/>
        <v>-- 47,</v>
      </c>
      <c r="Q169" s="25"/>
    </row>
    <row r="170" spans="12:17">
      <c r="M170" s="24" t="str">
        <f t="shared" si="5"/>
        <v>-- 48,</v>
      </c>
      <c r="Q170" s="25"/>
    </row>
    <row r="171" spans="12:17">
      <c r="M171" s="24" t="str">
        <f t="shared" si="5"/>
        <v>-- 49,</v>
      </c>
      <c r="Q171" s="25"/>
    </row>
    <row r="172" spans="12:17">
      <c r="M172" s="24" t="str">
        <f t="shared" si="5"/>
        <v>-- 50,</v>
      </c>
    </row>
    <row r="173" spans="12:17">
      <c r="L173" s="24"/>
      <c r="M173" s="24" t="str">
        <f t="shared" si="5"/>
        <v>-- 51,</v>
      </c>
    </row>
    <row r="174" spans="12:17">
      <c r="L174" s="24"/>
      <c r="M174" s="24" t="str">
        <f t="shared" si="5"/>
        <v>-- 52,</v>
      </c>
    </row>
    <row r="175" spans="12:17">
      <c r="L175" s="24"/>
      <c r="M175" s="24" t="str">
        <f t="shared" si="5"/>
        <v>-- 53,</v>
      </c>
    </row>
    <row r="176" spans="12:17">
      <c r="L176" s="24"/>
      <c r="M176" s="24" t="str">
        <f t="shared" si="5"/>
        <v>-- 54,</v>
      </c>
    </row>
    <row r="177" spans="12:13">
      <c r="L177" s="24"/>
      <c r="M177" s="24" t="str">
        <f t="shared" si="5"/>
        <v>-- 55,</v>
      </c>
    </row>
    <row r="178" spans="12:13">
      <c r="L178" s="24"/>
      <c r="M178" s="24" t="str">
        <f t="shared" si="5"/>
        <v>-- 56,</v>
      </c>
    </row>
    <row r="179" spans="12:13">
      <c r="L179" s="24"/>
      <c r="M179" s="24" t="str">
        <f t="shared" si="5"/>
        <v>-- 57,</v>
      </c>
    </row>
    <row r="180" spans="12:13">
      <c r="L180" s="24"/>
      <c r="M180" s="24" t="str">
        <f t="shared" si="5"/>
        <v>-- 58,</v>
      </c>
    </row>
    <row r="181" spans="12:13">
      <c r="L181" s="24"/>
      <c r="M181" s="24" t="str">
        <f t="shared" si="5"/>
        <v>-- 59,</v>
      </c>
    </row>
    <row r="182" spans="12:13">
      <c r="L182" s="24"/>
      <c r="M182" s="24" t="str">
        <f t="shared" si="5"/>
        <v>-- 60,</v>
      </c>
    </row>
    <row r="183" spans="12:13">
      <c r="L183" s="24"/>
      <c r="M183" s="24" t="str">
        <f t="shared" si="5"/>
        <v>-- 61,</v>
      </c>
    </row>
    <row r="184" spans="12:13">
      <c r="L184" s="24"/>
      <c r="M184" s="24" t="str">
        <f t="shared" si="5"/>
        <v>-- 62,</v>
      </c>
    </row>
    <row r="185" spans="12:13">
      <c r="L185" s="24"/>
      <c r="M185" s="24" t="str">
        <f t="shared" si="5"/>
        <v>-- 63,</v>
      </c>
    </row>
    <row r="186" spans="12:13">
      <c r="L186" s="24"/>
      <c r="M186" s="24" t="str">
        <f t="shared" si="5"/>
        <v>-- 64,</v>
      </c>
    </row>
    <row r="187" spans="12:13">
      <c r="L187" s="24"/>
      <c r="M187" s="24" t="str">
        <f t="shared" si="5"/>
        <v>-- 65,</v>
      </c>
    </row>
    <row r="188" spans="12:13">
      <c r="L188" s="24"/>
      <c r="M188" s="24" t="str">
        <f t="shared" ref="M188:M222" si="6">IF(TRIM($B72)="","-- "&amp;$A72&amp;",",IF(LEFT($B72,2)="--","-- "&amp;$A72&amp;",","")&amp;"EXEC sp_addextendedproperty 'MS_Description', '"&amp;TRIM($C72)&amp;IF($K72="","","("&amp;$K72&amp;")")&amp;"', "&amp;REPT(" ",60-LENB(TRIM($C72)&amp;IF($K72="","","("&amp;$K72&amp;")")))&amp;" 'schema', 'dbo', N'table', '"&amp;TRIM($C$3)&amp;"', 'column', '"&amp;TRIM($B72)&amp;"';"&amp;REPT(" ",20-LENB(TRIM($B72)))&amp;"-- 컬럼")</f>
        <v>-- 66,</v>
      </c>
    </row>
    <row r="189" spans="12:13">
      <c r="L189" s="24"/>
      <c r="M189" s="24" t="str">
        <f t="shared" si="6"/>
        <v>-- 67,</v>
      </c>
    </row>
    <row r="190" spans="12:13">
      <c r="L190" s="24"/>
      <c r="M190" s="24" t="str">
        <f t="shared" si="6"/>
        <v>-- 68,</v>
      </c>
    </row>
    <row r="191" spans="12:13">
      <c r="L191" s="24"/>
      <c r="M191" s="24" t="str">
        <f t="shared" si="6"/>
        <v>-- 69,</v>
      </c>
    </row>
    <row r="192" spans="12:13">
      <c r="L192" s="24"/>
      <c r="M192" s="24" t="str">
        <f t="shared" si="6"/>
        <v>-- 70,</v>
      </c>
    </row>
    <row r="193" spans="12:13">
      <c r="L193" s="24"/>
      <c r="M193" s="24" t="str">
        <f t="shared" si="6"/>
        <v>-- 71,</v>
      </c>
    </row>
    <row r="194" spans="12:13">
      <c r="L194" s="24"/>
      <c r="M194" s="24" t="str">
        <f t="shared" si="6"/>
        <v>-- 72,</v>
      </c>
    </row>
    <row r="195" spans="12:13">
      <c r="L195" s="24"/>
      <c r="M195" s="24" t="str">
        <f t="shared" si="6"/>
        <v>-- 73,</v>
      </c>
    </row>
    <row r="196" spans="12:13">
      <c r="L196" s="24"/>
      <c r="M196" s="24" t="str">
        <f t="shared" si="6"/>
        <v>-- 74,</v>
      </c>
    </row>
    <row r="197" spans="12:13">
      <c r="L197" s="24"/>
      <c r="M197" s="24" t="str">
        <f t="shared" si="6"/>
        <v>-- 75,</v>
      </c>
    </row>
    <row r="198" spans="12:13">
      <c r="L198" s="24"/>
      <c r="M198" s="24" t="str">
        <f t="shared" si="6"/>
        <v>-- 76,</v>
      </c>
    </row>
    <row r="199" spans="12:13">
      <c r="L199" s="24"/>
      <c r="M199" s="24" t="str">
        <f t="shared" si="6"/>
        <v>-- 77,</v>
      </c>
    </row>
    <row r="200" spans="12:13">
      <c r="L200" s="24"/>
      <c r="M200" s="24" t="str">
        <f t="shared" si="6"/>
        <v>-- 78,</v>
      </c>
    </row>
    <row r="201" spans="12:13">
      <c r="L201" s="24"/>
      <c r="M201" s="24" t="str">
        <f t="shared" si="6"/>
        <v>-- 79,</v>
      </c>
    </row>
    <row r="202" spans="12:13">
      <c r="L202" s="24"/>
      <c r="M202" s="24" t="str">
        <f t="shared" si="6"/>
        <v>-- 80,</v>
      </c>
    </row>
    <row r="203" spans="12:13">
      <c r="L203" s="24"/>
      <c r="M203" s="24" t="str">
        <f t="shared" si="6"/>
        <v>-- 81,</v>
      </c>
    </row>
    <row r="204" spans="12:13">
      <c r="L204" s="24"/>
      <c r="M204" s="24" t="str">
        <f t="shared" si="6"/>
        <v>-- 82,</v>
      </c>
    </row>
    <row r="205" spans="12:13">
      <c r="L205" s="24"/>
      <c r="M205" s="24" t="str">
        <f t="shared" si="6"/>
        <v>-- 83,</v>
      </c>
    </row>
    <row r="206" spans="12:13">
      <c r="L206" s="24"/>
      <c r="M206" s="24" t="str">
        <f t="shared" si="6"/>
        <v>-- 84,</v>
      </c>
    </row>
    <row r="207" spans="12:13">
      <c r="L207" s="24"/>
      <c r="M207" s="24" t="str">
        <f t="shared" si="6"/>
        <v>-- 85,</v>
      </c>
    </row>
    <row r="208" spans="12:13">
      <c r="L208" s="24"/>
      <c r="M208" s="24" t="str">
        <f t="shared" si="6"/>
        <v>-- 86,</v>
      </c>
    </row>
    <row r="209" spans="12:13">
      <c r="L209" s="24"/>
      <c r="M209" s="24" t="str">
        <f t="shared" si="6"/>
        <v>-- 87,</v>
      </c>
    </row>
    <row r="210" spans="12:13">
      <c r="L210" s="24"/>
      <c r="M210" s="24" t="str">
        <f t="shared" si="6"/>
        <v>-- 88,</v>
      </c>
    </row>
    <row r="211" spans="12:13">
      <c r="L211" s="24"/>
      <c r="M211" s="24" t="str">
        <f t="shared" si="6"/>
        <v>-- 89,</v>
      </c>
    </row>
    <row r="212" spans="12:13">
      <c r="L212" s="24"/>
      <c r="M212" s="24" t="str">
        <f t="shared" si="6"/>
        <v>-- 90,</v>
      </c>
    </row>
    <row r="213" spans="12:13">
      <c r="L213" s="24"/>
      <c r="M213" s="24" t="str">
        <f t="shared" si="6"/>
        <v>-- 91,</v>
      </c>
    </row>
    <row r="214" spans="12:13">
      <c r="L214" s="24"/>
      <c r="M214" s="24" t="str">
        <f t="shared" si="6"/>
        <v>-- 92,</v>
      </c>
    </row>
    <row r="215" spans="12:13">
      <c r="L215" s="24"/>
      <c r="M215" s="24" t="str">
        <f t="shared" si="6"/>
        <v>-- 93,</v>
      </c>
    </row>
    <row r="216" spans="12:13">
      <c r="L216" s="24"/>
      <c r="M216" s="24" t="str">
        <f t="shared" si="6"/>
        <v>-- 94,</v>
      </c>
    </row>
    <row r="217" spans="12:13">
      <c r="L217" s="24"/>
      <c r="M217" s="24" t="str">
        <f t="shared" si="6"/>
        <v>-- 95,</v>
      </c>
    </row>
    <row r="218" spans="12:13">
      <c r="L218" s="24"/>
      <c r="M218" s="24" t="str">
        <f t="shared" si="6"/>
        <v>-- 96,</v>
      </c>
    </row>
    <row r="219" spans="12:13">
      <c r="L219" s="24"/>
      <c r="M219" s="24" t="str">
        <f t="shared" si="6"/>
        <v>-- 97,</v>
      </c>
    </row>
    <row r="220" spans="12:13">
      <c r="L220" s="24"/>
      <c r="M220" s="24" t="str">
        <f t="shared" si="6"/>
        <v>-- 98,</v>
      </c>
    </row>
    <row r="221" spans="12:13">
      <c r="L221" s="24"/>
      <c r="M221" s="24" t="str">
        <f t="shared" si="6"/>
        <v>-- 99,</v>
      </c>
    </row>
    <row r="222" spans="12:13">
      <c r="L222" s="24"/>
      <c r="M222" s="24" t="str">
        <f t="shared" si="6"/>
        <v>-- 100,</v>
      </c>
    </row>
    <row r="223" spans="12:13">
      <c r="L223" s="24"/>
      <c r="M223" s="24"/>
    </row>
    <row r="224" spans="12:13">
      <c r="L224" s="24"/>
      <c r="M224" s="18" t="s">
        <v>651</v>
      </c>
    </row>
    <row r="225" spans="12:13">
      <c r="L225" s="24"/>
      <c r="M225" s="24" t="str">
        <f>REPT(" ",6)&amp;IF(ISBLANK($B7),"--"&amp;$A7,
LEFT(SUBSTITUTE($B7," ","*")&amp;
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storeNumber                   VARCHAR(256)                                                ,</v>
      </c>
    </row>
    <row r="226" spans="12:13">
      <c r="L226" s="24"/>
      <c r="M226" s="24" t="str">
        <f>IF(TRIM($B110)="","-- "&amp;$A110&amp;",",IF(LEFT($B110,2)="--","-- "&amp;$A110&amp;",","")&amp;"EXEC sp_addextendedproperty 'MS_Description', '"&amp;TRIM($C110)&amp;IF($K110="","","("&amp;$K110&amp;")")&amp;"', "&amp;REPT(" ",60-LENB(TRIM($C110)&amp;IF($K110="","","("&amp;$K110&amp;")")))&amp;" 'schema', 'dbo', N'table', '"&amp;TRIM($C$3)&amp;"', 'column', '"&amp;TRIM($B110)&amp;"';"&amp;REPT(" ",20-LENB(TRIM($B110)))&amp;"-- 컬럼")</f>
        <v>-- ,</v>
      </c>
    </row>
    <row r="227" spans="12:13">
      <c r="L227" s="24"/>
      <c r="M227" s="24" t="str">
        <f t="shared" ref="M227:M290" si="7">IF(TRIM($B111)="","-- "&amp;$A111&amp;",",IF(LEFT($B111,2)="--","-- "&amp;$A111&amp;",","")&amp;"EXEC sp_addextendedproperty 'MS_Description', '"&amp;TRIM($C111)&amp;IF($K111="","","("&amp;$K111&amp;")")&amp;"', "&amp;REPT(" ",60-LENB(TRIM($C111)&amp;IF($K111="","","("&amp;$K111&amp;")")))&amp;" 'schema', 'dbo', N'table', '"&amp;TRIM($C$3)&amp;"', 'column', '"&amp;TRIM($B111)&amp;"';"&amp;REPT(" ",20-LENB(TRIM($B111)))&amp;"-- 컬럼")</f>
        <v>-- ,</v>
      </c>
    </row>
    <row r="228" spans="12:13">
      <c r="L228" s="24"/>
      <c r="M228" s="24" t="str">
        <f t="shared" si="7"/>
        <v>-- ,</v>
      </c>
    </row>
    <row r="229" spans="12:13">
      <c r="L229" s="24"/>
      <c r="M229" s="24" t="str">
        <f t="shared" si="7"/>
        <v>-- ,</v>
      </c>
    </row>
    <row r="230" spans="12:13">
      <c r="L230" s="24"/>
      <c r="M230" s="24" t="str">
        <f t="shared" si="7"/>
        <v>-- ,</v>
      </c>
    </row>
    <row r="231" spans="12:13">
      <c r="L231" s="24"/>
      <c r="M231" s="24" t="str">
        <f t="shared" si="7"/>
        <v>-- ,</v>
      </c>
    </row>
    <row r="232" spans="12:13">
      <c r="L232" s="24"/>
      <c r="M232" s="24" t="str">
        <f t="shared" si="7"/>
        <v>-- ,</v>
      </c>
    </row>
    <row r="233" spans="12:13">
      <c r="L233" s="24"/>
      <c r="M233" s="24" t="str">
        <f t="shared" si="7"/>
        <v>-- ,</v>
      </c>
    </row>
    <row r="234" spans="12:13">
      <c r="L234" s="24"/>
      <c r="M234" s="24" t="str">
        <f t="shared" si="7"/>
        <v>-- ,</v>
      </c>
    </row>
    <row r="235" spans="12:13">
      <c r="L235" s="24"/>
      <c r="M235" s="24" t="str">
        <f t="shared" si="7"/>
        <v>EXEC sp_addextendedproperty 'MS_Description', '',                                                              'schema', 'dbo', N'table', 'Screen', 'column', '*초기데이터';         -- 컬럼</v>
      </c>
    </row>
    <row r="236" spans="12:13">
      <c r="L236" s="24"/>
      <c r="M236" s="24" t="str">
        <f t="shared" si="7"/>
        <v>-- ,</v>
      </c>
    </row>
    <row r="237" spans="12:13">
      <c r="L237" s="24"/>
      <c r="M237" s="24" t="str">
        <f t="shared" si="7"/>
        <v>-- ,</v>
      </c>
    </row>
    <row r="238" spans="12:13">
      <c r="L238" s="24"/>
      <c r="M238" s="24" t="str">
        <f t="shared" si="7"/>
        <v>-- ,</v>
      </c>
    </row>
    <row r="239" spans="12:13">
      <c r="L239" s="24"/>
      <c r="M239" s="24" t="str">
        <f t="shared" si="7"/>
        <v>-- ,</v>
      </c>
    </row>
    <row r="240" spans="12:13">
      <c r="L240" s="24"/>
      <c r="M240" s="24" t="str">
        <f t="shared" si="7"/>
        <v>-- ,</v>
      </c>
    </row>
    <row r="241" spans="12:13">
      <c r="L241" s="24"/>
      <c r="M241" s="24" t="str">
        <f t="shared" si="7"/>
        <v>-- ,</v>
      </c>
    </row>
    <row r="242" spans="12:13">
      <c r="L242" s="24"/>
      <c r="M242" s="24" t="str">
        <f t="shared" si="7"/>
        <v>-- ,</v>
      </c>
    </row>
    <row r="243" spans="12:13">
      <c r="L243" s="24"/>
      <c r="M243" s="24" t="str">
        <f t="shared" si="7"/>
        <v>-- ,</v>
      </c>
    </row>
    <row r="244" spans="12:13">
      <c r="L244" s="24"/>
      <c r="M244" s="24" t="str">
        <f t="shared" si="7"/>
        <v>-- ,</v>
      </c>
    </row>
    <row r="245" spans="12:13">
      <c r="L245" s="24"/>
      <c r="M245" s="24" t="str">
        <f t="shared" si="7"/>
        <v>-- ,</v>
      </c>
    </row>
    <row r="246" spans="12:13">
      <c r="L246" s="24"/>
      <c r="M246" s="24" t="str">
        <f t="shared" si="7"/>
        <v>-- ,</v>
      </c>
    </row>
    <row r="247" spans="12:13">
      <c r="L247" s="24"/>
      <c r="M247" s="24" t="str">
        <f t="shared" si="7"/>
        <v>-- ,</v>
      </c>
    </row>
    <row r="248" spans="12:13">
      <c r="L248" s="24"/>
      <c r="M248" s="24" t="str">
        <f t="shared" si="7"/>
        <v>-- ,</v>
      </c>
    </row>
    <row r="249" spans="12:13">
      <c r="L249" s="24"/>
      <c r="M249" s="24" t="str">
        <f t="shared" si="7"/>
        <v>-- ,</v>
      </c>
    </row>
    <row r="250" spans="12:13">
      <c r="L250" s="24"/>
      <c r="M250" s="24" t="str">
        <f t="shared" si="7"/>
        <v>-- ,</v>
      </c>
    </row>
    <row r="251" spans="12:13">
      <c r="L251" s="24"/>
      <c r="M251" s="24" t="str">
        <f t="shared" si="7"/>
        <v>-- ,</v>
      </c>
    </row>
    <row r="252" spans="12:13">
      <c r="L252" s="24"/>
      <c r="M252" s="24" t="str">
        <f t="shared" si="7"/>
        <v>-- ,</v>
      </c>
    </row>
    <row r="253" spans="12:13">
      <c r="L253" s="24"/>
      <c r="M253" s="24" t="str">
        <f t="shared" si="7"/>
        <v>-- ,</v>
      </c>
    </row>
    <row r="254" spans="12:13">
      <c r="L254" s="24"/>
      <c r="M254" s="24" t="str">
        <f t="shared" si="7"/>
        <v>-- ,</v>
      </c>
    </row>
    <row r="255" spans="12:13">
      <c r="L255" s="24"/>
      <c r="M255" s="24" t="str">
        <f t="shared" si="7"/>
        <v>-- ,</v>
      </c>
    </row>
    <row r="256" spans="12:13">
      <c r="L256" s="24"/>
      <c r="M256" s="24" t="str">
        <f t="shared" si="7"/>
        <v>-- ,</v>
      </c>
    </row>
    <row r="257" spans="12:13">
      <c r="L257" s="24"/>
      <c r="M257" s="24" t="str">
        <f t="shared" si="7"/>
        <v>-- ,</v>
      </c>
    </row>
    <row r="258" spans="12:13">
      <c r="L258" s="24"/>
      <c r="M258" s="24" t="str">
        <f t="shared" si="7"/>
        <v>-- ,</v>
      </c>
    </row>
    <row r="259" spans="12:13">
      <c r="L259" s="24"/>
      <c r="M259" s="24" t="str">
        <f t="shared" si="7"/>
        <v>-- ,</v>
      </c>
    </row>
    <row r="260" spans="12:13">
      <c r="L260" s="24"/>
      <c r="M260" s="24" t="str">
        <f t="shared" si="7"/>
        <v>-- ,</v>
      </c>
    </row>
    <row r="261" spans="12:13">
      <c r="L261" s="24"/>
      <c r="M261" s="24" t="str">
        <f t="shared" si="7"/>
        <v>-- ,</v>
      </c>
    </row>
    <row r="262" spans="12:13">
      <c r="L262" s="24"/>
      <c r="M262" s="24" t="str">
        <f t="shared" si="7"/>
        <v>-- ,</v>
      </c>
    </row>
    <row r="263" spans="12:13">
      <c r="L263" s="24"/>
      <c r="M263" s="24" t="str">
        <f t="shared" si="7"/>
        <v>-- ,</v>
      </c>
    </row>
    <row r="264" spans="12:13">
      <c r="L264" s="24"/>
      <c r="M264" s="24" t="str">
        <f t="shared" si="7"/>
        <v>-- ,</v>
      </c>
    </row>
    <row r="265" spans="12:13">
      <c r="L265" s="24"/>
      <c r="M265" s="24" t="str">
        <f t="shared" si="7"/>
        <v>-- ,</v>
      </c>
    </row>
    <row r="266" spans="12:13">
      <c r="L266" s="24"/>
      <c r="M266" s="24" t="str">
        <f t="shared" si="7"/>
        <v>-- ,</v>
      </c>
    </row>
    <row r="267" spans="12:13">
      <c r="L267" s="24"/>
      <c r="M267" s="24" t="str">
        <f t="shared" si="7"/>
        <v>-- ,</v>
      </c>
    </row>
    <row r="268" spans="12:13">
      <c r="L268" s="24"/>
      <c r="M268" s="24" t="str">
        <f t="shared" si="7"/>
        <v>-- ,</v>
      </c>
    </row>
    <row r="269" spans="12:13">
      <c r="L269" s="24"/>
      <c r="M269" s="24" t="str">
        <f t="shared" si="7"/>
        <v>-- ,</v>
      </c>
    </row>
    <row r="270" spans="12:13">
      <c r="L270" s="24"/>
      <c r="M270" s="24" t="str">
        <f t="shared" si="7"/>
        <v>-- ,</v>
      </c>
    </row>
    <row r="271" spans="12:13">
      <c r="L271" s="24"/>
      <c r="M271" s="24" t="str">
        <f t="shared" si="7"/>
        <v>-- ,</v>
      </c>
    </row>
    <row r="272" spans="12:13">
      <c r="L272" s="24"/>
      <c r="M272" s="24" t="str">
        <f t="shared" si="7"/>
        <v>-- ,</v>
      </c>
    </row>
    <row r="273" spans="12:13">
      <c r="L273" s="24"/>
      <c r="M273" s="24" t="str">
        <f t="shared" si="7"/>
        <v>-- ,</v>
      </c>
    </row>
    <row r="274" spans="12:13">
      <c r="L274" s="24"/>
      <c r="M274" s="24" t="str">
        <f t="shared" si="7"/>
        <v>-- ,</v>
      </c>
    </row>
    <row r="275" spans="12:13">
      <c r="L275" s="24"/>
      <c r="M275" s="24" t="str">
        <f t="shared" si="7"/>
        <v>-- ,</v>
      </c>
    </row>
    <row r="276" spans="12:13">
      <c r="L276" s="24"/>
      <c r="M276" s="24" t="str">
        <f t="shared" si="7"/>
        <v>-- ,</v>
      </c>
    </row>
    <row r="277" spans="12:13">
      <c r="L277" s="24"/>
      <c r="M277" s="24" t="str">
        <f t="shared" si="7"/>
        <v>-- ,</v>
      </c>
    </row>
    <row r="278" spans="12:13">
      <c r="L278" s="24"/>
      <c r="M278" s="24" t="str">
        <f t="shared" si="7"/>
        <v>-- ,</v>
      </c>
    </row>
    <row r="279" spans="12:13">
      <c r="L279" s="24"/>
      <c r="M279" s="24" t="str">
        <f t="shared" si="7"/>
        <v>-- ,</v>
      </c>
    </row>
    <row r="280" spans="12:13">
      <c r="L280" s="24"/>
      <c r="M280" s="24" t="str">
        <f t="shared" si="7"/>
        <v>-- ,</v>
      </c>
    </row>
    <row r="281" spans="12:13">
      <c r="L281" s="24"/>
      <c r="M281" s="24" t="str">
        <f t="shared" si="7"/>
        <v>-- ,</v>
      </c>
    </row>
    <row r="282" spans="12:13">
      <c r="L282" s="24"/>
      <c r="M282" s="24" t="str">
        <f t="shared" si="7"/>
        <v>-- ,</v>
      </c>
    </row>
    <row r="283" spans="12:13">
      <c r="L283" s="24"/>
      <c r="M283" s="24" t="str">
        <f t="shared" si="7"/>
        <v>-- ,</v>
      </c>
    </row>
    <row r="284" spans="12:13">
      <c r="L284" s="24"/>
      <c r="M284" s="24" t="str">
        <f t="shared" si="7"/>
        <v>-- ,</v>
      </c>
    </row>
    <row r="285" spans="12:13">
      <c r="L285" s="24"/>
      <c r="M285" s="24" t="str">
        <f t="shared" si="7"/>
        <v>-- ,</v>
      </c>
    </row>
    <row r="286" spans="12:13">
      <c r="L286" s="24"/>
      <c r="M286" s="24" t="str">
        <f t="shared" si="7"/>
        <v>-- ,</v>
      </c>
    </row>
    <row r="287" spans="12:13">
      <c r="L287" s="24"/>
      <c r="M287" s="24" t="str">
        <f t="shared" si="7"/>
        <v>-- ,</v>
      </c>
    </row>
    <row r="288" spans="12:13">
      <c r="L288" s="24"/>
      <c r="M288" s="24" t="str">
        <f t="shared" si="7"/>
        <v>-- ,</v>
      </c>
    </row>
    <row r="289" spans="12:13">
      <c r="L289" s="24"/>
      <c r="M289" s="24" t="str">
        <f t="shared" si="7"/>
        <v>-- ,</v>
      </c>
    </row>
    <row r="290" spans="12:13">
      <c r="L290" s="24"/>
      <c r="M290" s="24" t="str">
        <f t="shared" si="7"/>
        <v>-- ,</v>
      </c>
    </row>
    <row r="291" spans="12:13">
      <c r="L291" s="24"/>
      <c r="M291" s="24" t="str">
        <f t="shared" ref="M291:M324" si="8">IF(TRIM($B175)="","-- "&amp;$A175&amp;",",IF(LEFT($B175,2)="--","-- "&amp;$A175&amp;",","")&amp;"EXEC sp_addextendedproperty 'MS_Description', '"&amp;TRIM($C175)&amp;IF($K175="","","("&amp;$K175&amp;")")&amp;"', "&amp;REPT(" ",60-LENB(TRIM($C175)&amp;IF($K175="","","("&amp;$K175&amp;")")))&amp;" 'schema', 'dbo', N'table', '"&amp;TRIM($C$3)&amp;"', 'column', '"&amp;TRIM($B175)&amp;"';"&amp;REPT(" ",20-LENB(TRIM($B175)))&amp;"-- 컬럼")</f>
        <v>-- ,</v>
      </c>
    </row>
    <row r="292" spans="12:13">
      <c r="L292" s="24"/>
      <c r="M292" s="24" t="str">
        <f t="shared" si="8"/>
        <v>-- ,</v>
      </c>
    </row>
    <row r="293" spans="12:13">
      <c r="L293" s="24"/>
      <c r="M293" s="24" t="str">
        <f t="shared" si="8"/>
        <v>-- ,</v>
      </c>
    </row>
    <row r="294" spans="12:13">
      <c r="L294" s="24"/>
      <c r="M294" s="24" t="str">
        <f t="shared" si="8"/>
        <v>-- ,</v>
      </c>
    </row>
    <row r="295" spans="12:13">
      <c r="L295" s="24"/>
      <c r="M295" s="24" t="str">
        <f t="shared" si="8"/>
        <v>-- ,</v>
      </c>
    </row>
    <row r="296" spans="12:13">
      <c r="L296" s="24"/>
      <c r="M296" s="24" t="str">
        <f t="shared" si="8"/>
        <v>-- ,</v>
      </c>
    </row>
    <row r="297" spans="12:13">
      <c r="L297" s="24"/>
      <c r="M297" s="24" t="str">
        <f t="shared" si="8"/>
        <v>-- ,</v>
      </c>
    </row>
    <row r="298" spans="12:13">
      <c r="L298" s="24"/>
      <c r="M298" s="24" t="str">
        <f t="shared" si="8"/>
        <v>-- ,</v>
      </c>
    </row>
    <row r="299" spans="12:13">
      <c r="L299" s="24"/>
      <c r="M299" s="24" t="str">
        <f t="shared" si="8"/>
        <v>-- ,</v>
      </c>
    </row>
    <row r="300" spans="12:13">
      <c r="L300" s="24"/>
      <c r="M300" s="24" t="str">
        <f t="shared" si="8"/>
        <v>-- ,</v>
      </c>
    </row>
    <row r="301" spans="12:13">
      <c r="L301" s="24"/>
      <c r="M301" s="24" t="str">
        <f t="shared" si="8"/>
        <v>-- ,</v>
      </c>
    </row>
    <row r="302" spans="12:13">
      <c r="L302" s="24"/>
      <c r="M302" s="24" t="str">
        <f t="shared" si="8"/>
        <v>-- ,</v>
      </c>
    </row>
    <row r="303" spans="12:13">
      <c r="L303" s="24"/>
      <c r="M303" s="24" t="str">
        <f t="shared" si="8"/>
        <v>-- ,</v>
      </c>
    </row>
    <row r="304" spans="12:13">
      <c r="L304" s="24"/>
      <c r="M304" s="24" t="str">
        <f t="shared" si="8"/>
        <v>-- ,</v>
      </c>
    </row>
    <row r="305" spans="12:13">
      <c r="L305" s="24"/>
      <c r="M305" s="24" t="str">
        <f t="shared" si="8"/>
        <v>-- ,</v>
      </c>
    </row>
    <row r="306" spans="12:13">
      <c r="L306" s="24"/>
      <c r="M306" s="24" t="str">
        <f t="shared" si="8"/>
        <v>-- ,</v>
      </c>
    </row>
    <row r="307" spans="12:13">
      <c r="L307" s="24"/>
      <c r="M307" s="24" t="str">
        <f t="shared" si="8"/>
        <v>-- ,</v>
      </c>
    </row>
    <row r="308" spans="12:13">
      <c r="L308" s="24"/>
      <c r="M308" s="24" t="str">
        <f t="shared" si="8"/>
        <v>-- ,</v>
      </c>
    </row>
    <row r="309" spans="12:13">
      <c r="L309" s="24"/>
      <c r="M309" s="24" t="str">
        <f t="shared" si="8"/>
        <v>-- ,</v>
      </c>
    </row>
    <row r="310" spans="12:13">
      <c r="L310" s="24"/>
      <c r="M310" s="24" t="str">
        <f t="shared" si="8"/>
        <v>-- ,</v>
      </c>
    </row>
    <row r="311" spans="12:13">
      <c r="L311" s="24"/>
      <c r="M311" s="24" t="str">
        <f t="shared" si="8"/>
        <v>-- ,</v>
      </c>
    </row>
    <row r="312" spans="12:13">
      <c r="L312" s="24"/>
      <c r="M312" s="24" t="str">
        <f t="shared" si="8"/>
        <v>-- ,</v>
      </c>
    </row>
    <row r="313" spans="12:13">
      <c r="L313" s="24"/>
      <c r="M313" s="24" t="str">
        <f t="shared" si="8"/>
        <v>-- ,</v>
      </c>
    </row>
    <row r="314" spans="12:13">
      <c r="L314" s="24"/>
      <c r="M314" s="24" t="str">
        <f t="shared" si="8"/>
        <v>-- ,</v>
      </c>
    </row>
    <row r="315" spans="12:13">
      <c r="L315" s="24"/>
      <c r="M315" s="24" t="str">
        <f t="shared" si="8"/>
        <v>-- ,</v>
      </c>
    </row>
    <row r="316" spans="12:13">
      <c r="L316" s="24"/>
      <c r="M316" s="24" t="str">
        <f t="shared" si="8"/>
        <v>-- ,</v>
      </c>
    </row>
    <row r="317" spans="12:13">
      <c r="L317" s="24"/>
      <c r="M317" s="24" t="str">
        <f t="shared" si="8"/>
        <v>-- ,</v>
      </c>
    </row>
    <row r="318" spans="12:13">
      <c r="L318" s="24"/>
      <c r="M318" s="24" t="str">
        <f t="shared" si="8"/>
        <v>-- ,</v>
      </c>
    </row>
    <row r="319" spans="12:13">
      <c r="L319" s="24"/>
      <c r="M319" s="24" t="str">
        <f t="shared" si="8"/>
        <v>-- ,</v>
      </c>
    </row>
    <row r="320" spans="12:13">
      <c r="L320" s="24"/>
      <c r="M320" s="24" t="str">
        <f t="shared" si="8"/>
        <v>-- ,</v>
      </c>
    </row>
    <row r="321" spans="12:13">
      <c r="L321" s="24"/>
      <c r="M321" s="24" t="str">
        <f t="shared" si="8"/>
        <v>-- ,</v>
      </c>
    </row>
    <row r="322" spans="12:13">
      <c r="L322" s="24"/>
      <c r="M322" s="24" t="str">
        <f t="shared" si="8"/>
        <v>-- ,</v>
      </c>
    </row>
    <row r="323" spans="12:13">
      <c r="L323" s="24"/>
      <c r="M323" s="24" t="str">
        <f t="shared" si="8"/>
        <v>-- ,</v>
      </c>
    </row>
    <row r="324" spans="12:13">
      <c r="L324" s="24"/>
      <c r="M324" s="24" t="str">
        <f t="shared" si="8"/>
        <v>-- ,</v>
      </c>
    </row>
    <row r="325" spans="12:13">
      <c r="L325" s="24"/>
      <c r="M325" s="20" t="s">
        <v>652</v>
      </c>
    </row>
    <row r="326" spans="12:13">
      <c r="M326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'화면',                                                          'schema', 'dbo', 'table', 'Screen';                  -- 테이블</v>
      </c>
    </row>
    <row r="328" spans="12:13">
      <c r="M328" s="20" t="s">
        <v>653</v>
      </c>
    </row>
    <row r="329" spans="12:13">
      <c r="M329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'화면',                                                          'schema', 'dbo', 'table', 'Screen';                  -- 테이블</v>
      </c>
    </row>
    <row r="330" spans="12:13">
      <c r="M330" s="24" t="str">
        <f>IF(TRIM($B214)="","-- "&amp;$A214&amp;",",IF(LEFT($B214,2)="--","-- "&amp;$A214&amp;",","")&amp;"EXEC sp_addextendedproperty 'MS_Description', '"&amp;TRIM($C214)&amp;IF($K214="","","("&amp;$K214&amp;")")&amp;"', "&amp;REPT(" ",60-LENB(TRIM($C214)&amp;IF($K214="","","("&amp;$K214&amp;")")))&amp;" 'schema', 'dbo', N'table', '"&amp;TRIM($C$3)&amp;"', 'column', '"&amp;TRIM($B214)&amp;"';"&amp;REPT(" ",20-LENB(TRIM($B214)))&amp;"-- 컬럼")</f>
        <v>-- ,</v>
      </c>
    </row>
    <row r="331" spans="12:13">
      <c r="M331" s="24" t="str">
        <f t="shared" ref="M331:M394" si="9">IF(TRIM($B215)="","-- "&amp;$A215&amp;",",IF(LEFT($B215,2)="--","-- "&amp;$A215&amp;",","")&amp;"EXEC sp_addextendedproperty 'MS_Description', '"&amp;TRIM($C215)&amp;IF($K215="","","("&amp;$K215&amp;")")&amp;"', "&amp;REPT(" ",60-LENB(TRIM($C215)&amp;IF($K215="","","("&amp;$K215&amp;")")))&amp;" 'schema', 'dbo', N'table', '"&amp;TRIM($C$3)&amp;"', 'column', '"&amp;TRIM($B215)&amp;"';"&amp;REPT(" ",20-LENB(TRIM($B215)))&amp;"-- 컬럼")</f>
        <v>-- ,</v>
      </c>
    </row>
    <row r="332" spans="12:13">
      <c r="M332" s="24" t="str">
        <f t="shared" si="9"/>
        <v>-- ,</v>
      </c>
    </row>
    <row r="333" spans="12:13">
      <c r="M333" s="24" t="str">
        <f t="shared" si="9"/>
        <v>-- ,</v>
      </c>
    </row>
    <row r="334" spans="12:13">
      <c r="M334" s="24" t="str">
        <f t="shared" si="9"/>
        <v>-- ,</v>
      </c>
    </row>
    <row r="335" spans="12:13">
      <c r="M335" s="24" t="str">
        <f t="shared" si="9"/>
        <v>-- ,</v>
      </c>
    </row>
    <row r="336" spans="12:13">
      <c r="M336" s="24" t="str">
        <f t="shared" si="9"/>
        <v>-- ,</v>
      </c>
    </row>
    <row r="337" spans="13:13">
      <c r="M337" s="24" t="str">
        <f t="shared" si="9"/>
        <v>-- ,</v>
      </c>
    </row>
    <row r="338" spans="13:13">
      <c r="M338" s="24" t="str">
        <f t="shared" si="9"/>
        <v>-- ,</v>
      </c>
    </row>
    <row r="339" spans="13:13">
      <c r="M339" s="24" t="str">
        <f t="shared" si="9"/>
        <v>-- ,</v>
      </c>
    </row>
    <row r="340" spans="13:13">
      <c r="M340" s="24" t="str">
        <f t="shared" si="9"/>
        <v>-- ,</v>
      </c>
    </row>
    <row r="341" spans="13:13">
      <c r="M341" s="24" t="str">
        <f t="shared" si="9"/>
        <v>-- ,</v>
      </c>
    </row>
    <row r="342" spans="13:13">
      <c r="M342" s="24" t="str">
        <f t="shared" si="9"/>
        <v>-- ,</v>
      </c>
    </row>
    <row r="343" spans="13:13">
      <c r="M343" s="24" t="str">
        <f t="shared" si="9"/>
        <v>-- ,</v>
      </c>
    </row>
    <row r="344" spans="13:13">
      <c r="M344" s="24" t="str">
        <f t="shared" si="9"/>
        <v>-- ,</v>
      </c>
    </row>
    <row r="345" spans="13:13">
      <c r="M345" s="24" t="str">
        <f t="shared" si="9"/>
        <v>-- ,</v>
      </c>
    </row>
    <row r="346" spans="13:13">
      <c r="M346" s="24" t="str">
        <f t="shared" si="9"/>
        <v>-- ,</v>
      </c>
    </row>
    <row r="347" spans="13:13">
      <c r="M347" s="24" t="str">
        <f t="shared" si="9"/>
        <v>-- ,</v>
      </c>
    </row>
    <row r="348" spans="13:13">
      <c r="M348" s="24" t="str">
        <f t="shared" si="9"/>
        <v>-- ,</v>
      </c>
    </row>
    <row r="349" spans="13:13">
      <c r="M349" s="24" t="str">
        <f t="shared" si="9"/>
        <v>-- ,</v>
      </c>
    </row>
    <row r="350" spans="13:13">
      <c r="M350" s="24" t="str">
        <f t="shared" si="9"/>
        <v>-- ,</v>
      </c>
    </row>
    <row r="351" spans="13:13">
      <c r="M351" s="24" t="str">
        <f t="shared" si="9"/>
        <v>-- ,</v>
      </c>
    </row>
    <row r="352" spans="13:13">
      <c r="M352" s="24" t="str">
        <f t="shared" si="9"/>
        <v>-- ,</v>
      </c>
    </row>
    <row r="353" spans="13:13">
      <c r="M353" s="24" t="str">
        <f t="shared" si="9"/>
        <v>-- ,</v>
      </c>
    </row>
    <row r="354" spans="13:13">
      <c r="M354" s="24" t="str">
        <f t="shared" si="9"/>
        <v>-- ,</v>
      </c>
    </row>
    <row r="355" spans="13:13">
      <c r="M355" s="24" t="str">
        <f t="shared" si="9"/>
        <v>-- ,</v>
      </c>
    </row>
    <row r="356" spans="13:13">
      <c r="M356" s="24" t="str">
        <f t="shared" si="9"/>
        <v>-- ,</v>
      </c>
    </row>
    <row r="357" spans="13:13">
      <c r="M357" s="24" t="str">
        <f t="shared" si="9"/>
        <v>-- ,</v>
      </c>
    </row>
    <row r="358" spans="13:13">
      <c r="M358" s="24" t="str">
        <f t="shared" si="9"/>
        <v>-- ,</v>
      </c>
    </row>
    <row r="359" spans="13:13">
      <c r="M359" s="24" t="str">
        <f t="shared" si="9"/>
        <v>-- ,</v>
      </c>
    </row>
    <row r="360" spans="13:13">
      <c r="M360" s="24" t="str">
        <f t="shared" si="9"/>
        <v>-- ,</v>
      </c>
    </row>
    <row r="361" spans="13:13">
      <c r="M361" s="24" t="str">
        <f t="shared" si="9"/>
        <v>-- ,</v>
      </c>
    </row>
    <row r="362" spans="13:13">
      <c r="M362" s="24" t="str">
        <f t="shared" si="9"/>
        <v>-- ,</v>
      </c>
    </row>
    <row r="363" spans="13:13">
      <c r="M363" s="24" t="str">
        <f t="shared" si="9"/>
        <v>-- ,</v>
      </c>
    </row>
    <row r="364" spans="13:13">
      <c r="M364" s="24" t="str">
        <f t="shared" si="9"/>
        <v>-- ,</v>
      </c>
    </row>
    <row r="365" spans="13:13">
      <c r="M365" s="24" t="str">
        <f t="shared" si="9"/>
        <v>-- ,</v>
      </c>
    </row>
    <row r="366" spans="13:13">
      <c r="M366" s="24" t="str">
        <f t="shared" si="9"/>
        <v>-- ,</v>
      </c>
    </row>
    <row r="367" spans="13:13">
      <c r="M367" s="24" t="str">
        <f t="shared" si="9"/>
        <v>-- ,</v>
      </c>
    </row>
    <row r="368" spans="13:13">
      <c r="M368" s="24" t="str">
        <f t="shared" si="9"/>
        <v>-- ,</v>
      </c>
    </row>
    <row r="369" spans="13:13">
      <c r="M369" s="24" t="str">
        <f t="shared" si="9"/>
        <v>-- ,</v>
      </c>
    </row>
    <row r="370" spans="13:13">
      <c r="M370" s="24" t="str">
        <f t="shared" si="9"/>
        <v>-- ,</v>
      </c>
    </row>
    <row r="371" spans="13:13">
      <c r="M371" s="24" t="str">
        <f t="shared" si="9"/>
        <v>-- ,</v>
      </c>
    </row>
    <row r="372" spans="13:13">
      <c r="M372" s="24" t="str">
        <f t="shared" si="9"/>
        <v>-- ,</v>
      </c>
    </row>
    <row r="373" spans="13:13">
      <c r="M373" s="24" t="str">
        <f t="shared" si="9"/>
        <v>-- ,</v>
      </c>
    </row>
    <row r="374" spans="13:13">
      <c r="M374" s="24" t="str">
        <f t="shared" si="9"/>
        <v>-- ,</v>
      </c>
    </row>
    <row r="375" spans="13:13">
      <c r="M375" s="24" t="str">
        <f t="shared" si="9"/>
        <v>-- ,</v>
      </c>
    </row>
    <row r="376" spans="13:13">
      <c r="M376" s="24" t="str">
        <f t="shared" si="9"/>
        <v>-- ,</v>
      </c>
    </row>
    <row r="377" spans="13:13">
      <c r="M377" s="24" t="str">
        <f t="shared" si="9"/>
        <v>-- ,</v>
      </c>
    </row>
    <row r="378" spans="13:13">
      <c r="M378" s="24" t="str">
        <f t="shared" si="9"/>
        <v>-- ,</v>
      </c>
    </row>
    <row r="379" spans="13:13">
      <c r="M379" s="24" t="str">
        <f t="shared" si="9"/>
        <v>-- ,</v>
      </c>
    </row>
    <row r="380" spans="13:13">
      <c r="M380" s="24" t="str">
        <f t="shared" si="9"/>
        <v>-- ,</v>
      </c>
    </row>
    <row r="381" spans="13:13">
      <c r="M381" s="24" t="str">
        <f t="shared" si="9"/>
        <v>-- ,</v>
      </c>
    </row>
    <row r="382" spans="13:13">
      <c r="M382" s="24" t="str">
        <f t="shared" si="9"/>
        <v>-- ,</v>
      </c>
    </row>
    <row r="383" spans="13:13">
      <c r="M383" s="24" t="str">
        <f t="shared" si="9"/>
        <v>-- ,</v>
      </c>
    </row>
    <row r="384" spans="13:13">
      <c r="M384" s="24" t="str">
        <f t="shared" si="9"/>
        <v>-- ,</v>
      </c>
    </row>
    <row r="385" spans="13:13">
      <c r="M385" s="24" t="str">
        <f t="shared" si="9"/>
        <v>-- ,</v>
      </c>
    </row>
    <row r="386" spans="13:13">
      <c r="M386" s="24" t="str">
        <f t="shared" si="9"/>
        <v>-- ,</v>
      </c>
    </row>
    <row r="387" spans="13:13">
      <c r="M387" s="24" t="str">
        <f t="shared" si="9"/>
        <v>-- ,</v>
      </c>
    </row>
    <row r="388" spans="13:13">
      <c r="M388" s="24" t="str">
        <f t="shared" si="9"/>
        <v>-- ,</v>
      </c>
    </row>
    <row r="389" spans="13:13">
      <c r="M389" s="24" t="str">
        <f t="shared" si="9"/>
        <v>-- ,</v>
      </c>
    </row>
    <row r="390" spans="13:13">
      <c r="M390" s="24" t="str">
        <f t="shared" si="9"/>
        <v>-- ,</v>
      </c>
    </row>
    <row r="391" spans="13:13">
      <c r="M391" s="24" t="str">
        <f t="shared" si="9"/>
        <v>-- ,</v>
      </c>
    </row>
    <row r="392" spans="13:13">
      <c r="M392" s="24" t="str">
        <f t="shared" si="9"/>
        <v>-- ,</v>
      </c>
    </row>
    <row r="393" spans="13:13">
      <c r="M393" s="24" t="str">
        <f t="shared" si="9"/>
        <v>-- ,</v>
      </c>
    </row>
    <row r="394" spans="13:13">
      <c r="M394" s="24" t="str">
        <f t="shared" si="9"/>
        <v>-- ,</v>
      </c>
    </row>
    <row r="395" spans="13:13">
      <c r="M395" s="24" t="str">
        <f t="shared" ref="M395:M429" si="10">IF(TRIM($B279)="","-- "&amp;$A279&amp;",",IF(LEFT($B279,2)="--","-- "&amp;$A279&amp;",","")&amp;"EXEC sp_addextendedproperty 'MS_Description', '"&amp;TRIM($C279)&amp;IF($K279="","","("&amp;$K279&amp;")")&amp;"', "&amp;REPT(" ",60-LENB(TRIM($C279)&amp;IF($K279="","","("&amp;$K279&amp;")")))&amp;" 'schema', 'dbo', N'table', '"&amp;TRIM($C$3)&amp;"', 'column', '"&amp;TRIM($B279)&amp;"';"&amp;REPT(" ",20-LENB(TRIM($B279)))&amp;"-- 컬럼")</f>
        <v>-- ,</v>
      </c>
    </row>
    <row r="396" spans="13:13">
      <c r="M396" s="24" t="str">
        <f t="shared" si="10"/>
        <v>-- ,</v>
      </c>
    </row>
    <row r="397" spans="13:13">
      <c r="M397" s="24" t="str">
        <f t="shared" si="10"/>
        <v>-- ,</v>
      </c>
    </row>
    <row r="398" spans="13:13">
      <c r="M398" s="24" t="str">
        <f t="shared" si="10"/>
        <v>-- ,</v>
      </c>
    </row>
    <row r="399" spans="13:13">
      <c r="M399" s="24" t="str">
        <f t="shared" si="10"/>
        <v>-- ,</v>
      </c>
    </row>
    <row r="400" spans="13:13">
      <c r="M400" s="24" t="str">
        <f t="shared" si="10"/>
        <v>-- ,</v>
      </c>
    </row>
    <row r="401" spans="13:13">
      <c r="M401" s="24" t="str">
        <f t="shared" si="10"/>
        <v>-- ,</v>
      </c>
    </row>
    <row r="402" spans="13:13">
      <c r="M402" s="24" t="str">
        <f t="shared" si="10"/>
        <v>-- ,</v>
      </c>
    </row>
    <row r="403" spans="13:13">
      <c r="M403" s="24" t="str">
        <f t="shared" si="10"/>
        <v>-- ,</v>
      </c>
    </row>
    <row r="404" spans="13:13">
      <c r="M404" s="24" t="str">
        <f t="shared" si="10"/>
        <v>-- ,</v>
      </c>
    </row>
    <row r="405" spans="13:13">
      <c r="M405" s="24" t="str">
        <f t="shared" si="10"/>
        <v>-- ,</v>
      </c>
    </row>
    <row r="406" spans="13:13">
      <c r="M406" s="24" t="str">
        <f t="shared" si="10"/>
        <v>-- ,</v>
      </c>
    </row>
    <row r="407" spans="13:13">
      <c r="M407" s="24" t="str">
        <f t="shared" si="10"/>
        <v>-- ,</v>
      </c>
    </row>
    <row r="408" spans="13:13">
      <c r="M408" s="24" t="str">
        <f t="shared" si="10"/>
        <v>-- ,</v>
      </c>
    </row>
    <row r="409" spans="13:13">
      <c r="M409" s="24" t="str">
        <f t="shared" si="10"/>
        <v>-- ,</v>
      </c>
    </row>
    <row r="410" spans="13:13">
      <c r="M410" s="24" t="str">
        <f t="shared" si="10"/>
        <v>-- ,</v>
      </c>
    </row>
    <row r="411" spans="13:13">
      <c r="M411" s="24" t="str">
        <f t="shared" si="10"/>
        <v>-- ,</v>
      </c>
    </row>
    <row r="412" spans="13:13">
      <c r="M412" s="24" t="str">
        <f t="shared" si="10"/>
        <v>-- ,</v>
      </c>
    </row>
    <row r="413" spans="13:13">
      <c r="M413" s="24" t="str">
        <f t="shared" si="10"/>
        <v>-- ,</v>
      </c>
    </row>
    <row r="414" spans="13:13">
      <c r="M414" s="24" t="str">
        <f t="shared" si="10"/>
        <v>-- ,</v>
      </c>
    </row>
    <row r="415" spans="13:13">
      <c r="M415" s="24" t="str">
        <f t="shared" si="10"/>
        <v>-- ,</v>
      </c>
    </row>
    <row r="416" spans="13:13">
      <c r="M416" s="24" t="str">
        <f t="shared" si="10"/>
        <v>-- ,</v>
      </c>
    </row>
    <row r="417" spans="13:13">
      <c r="M417" s="24" t="str">
        <f t="shared" si="10"/>
        <v>-- ,</v>
      </c>
    </row>
    <row r="418" spans="13:13">
      <c r="M418" s="24" t="str">
        <f t="shared" si="10"/>
        <v>-- ,</v>
      </c>
    </row>
    <row r="419" spans="13:13">
      <c r="M419" s="24" t="str">
        <f t="shared" si="10"/>
        <v>-- ,</v>
      </c>
    </row>
    <row r="420" spans="13:13">
      <c r="M420" s="24" t="str">
        <f t="shared" si="10"/>
        <v>-- ,</v>
      </c>
    </row>
    <row r="421" spans="13:13">
      <c r="M421" s="24" t="str">
        <f t="shared" si="10"/>
        <v>-- ,</v>
      </c>
    </row>
    <row r="422" spans="13:13">
      <c r="M422" s="24" t="str">
        <f t="shared" si="10"/>
        <v>-- ,</v>
      </c>
    </row>
    <row r="423" spans="13:13">
      <c r="M423" s="24" t="str">
        <f t="shared" si="10"/>
        <v>-- ,</v>
      </c>
    </row>
    <row r="424" spans="13:13">
      <c r="M424" s="24" t="str">
        <f t="shared" si="10"/>
        <v>-- ,</v>
      </c>
    </row>
    <row r="425" spans="13:13">
      <c r="M425" s="24" t="str">
        <f t="shared" si="10"/>
        <v>-- ,</v>
      </c>
    </row>
    <row r="426" spans="13:13">
      <c r="M426" s="24" t="str">
        <f t="shared" si="10"/>
        <v>-- ,</v>
      </c>
    </row>
    <row r="427" spans="13:13">
      <c r="M427" s="24" t="str">
        <f t="shared" si="10"/>
        <v>-- ,</v>
      </c>
    </row>
    <row r="428" spans="13:13">
      <c r="M428" s="24" t="str">
        <f t="shared" si="10"/>
        <v>-- ,</v>
      </c>
    </row>
    <row r="429" spans="13:13">
      <c r="M429" s="24" t="str">
        <f t="shared" si="10"/>
        <v>-- ,</v>
      </c>
    </row>
    <row r="430" spans="13:13">
      <c r="M430" s="20" t="s">
        <v>654</v>
      </c>
    </row>
    <row r="431" spans="13:13">
      <c r="M431" s="24" t="str">
        <f>IF(TRIM($B315)="","-- "&amp;$A315&amp;",",IF(LEFT($B315,2)="--","-- "&amp;$A315&amp;",","")&amp;"EXEC sp_addextendedproperty 'MS_Description', '"&amp;TRIM($C315)&amp;IF($K315="","","("&amp;$K315&amp;")")&amp;"', "&amp;REPT(" ",60-LENB(TRIM($C315)&amp;IF($K315="","","("&amp;$K315&amp;")")))&amp;" 'schema', 'dbo', N'table', '"&amp;TRIM($C$3)&amp;"', 'column', '"&amp;TRIM($B315)&amp;"';"&amp;REPT(" ",20-LENB(TRIM($B315)))&amp;"-- 컬럼")</f>
        <v>-- ,</v>
      </c>
    </row>
    <row r="432" spans="13:13">
      <c r="M432" s="24" t="str">
        <f t="shared" ref="M432:M495" si="11">IF(TRIM($B316)="","-- "&amp;$A316&amp;",",IF(LEFT($B316,2)="--","-- "&amp;$A316&amp;",","")&amp;"EXEC sp_addextendedproperty 'MS_Description', '"&amp;TRIM($C316)&amp;IF($K316="","","("&amp;$K316&amp;")")&amp;"', "&amp;REPT(" ",60-LENB(TRIM($C316)&amp;IF($K316="","","("&amp;$K316&amp;")")))&amp;" 'schema', 'dbo', N'table', '"&amp;TRIM($C$3)&amp;"', 'column', '"&amp;TRIM($B316)&amp;"';"&amp;REPT(" ",20-LENB(TRIM($B316)))&amp;"-- 컬럼")</f>
        <v>-- ,</v>
      </c>
    </row>
    <row r="433" spans="13:13">
      <c r="M433" s="24" t="str">
        <f t="shared" si="11"/>
        <v>-- ,</v>
      </c>
    </row>
    <row r="434" spans="13:13">
      <c r="M434" s="24" t="str">
        <f t="shared" si="11"/>
        <v>-- ,</v>
      </c>
    </row>
    <row r="435" spans="13:13">
      <c r="M435" s="24" t="str">
        <f t="shared" si="11"/>
        <v>-- ,</v>
      </c>
    </row>
    <row r="436" spans="13:13">
      <c r="M436" s="24" t="str">
        <f t="shared" si="11"/>
        <v>-- ,</v>
      </c>
    </row>
    <row r="437" spans="13:13">
      <c r="M437" s="24" t="str">
        <f t="shared" si="11"/>
        <v>-- ,</v>
      </c>
    </row>
    <row r="438" spans="13:13">
      <c r="M438" s="24" t="str">
        <f t="shared" si="11"/>
        <v>-- ,</v>
      </c>
    </row>
    <row r="439" spans="13:13">
      <c r="M439" s="24" t="str">
        <f t="shared" si="11"/>
        <v>-- ,</v>
      </c>
    </row>
    <row r="440" spans="13:13">
      <c r="M440" s="24" t="str">
        <f t="shared" si="11"/>
        <v>-- ,</v>
      </c>
    </row>
    <row r="441" spans="13:13">
      <c r="M441" s="24" t="str">
        <f t="shared" si="11"/>
        <v>-- ,</v>
      </c>
    </row>
    <row r="442" spans="13:13">
      <c r="M442" s="24" t="str">
        <f t="shared" si="11"/>
        <v>-- ,</v>
      </c>
    </row>
    <row r="443" spans="13:13">
      <c r="M443" s="24" t="str">
        <f t="shared" si="11"/>
        <v>-- ,</v>
      </c>
    </row>
    <row r="444" spans="13:13">
      <c r="M444" s="24" t="str">
        <f t="shared" si="11"/>
        <v>-- ,</v>
      </c>
    </row>
    <row r="445" spans="13:13">
      <c r="M445" s="24" t="str">
        <f t="shared" si="11"/>
        <v>-- ,</v>
      </c>
    </row>
    <row r="446" spans="13:13">
      <c r="M446" s="24" t="str">
        <f t="shared" si="11"/>
        <v>-- ,</v>
      </c>
    </row>
    <row r="447" spans="13:13">
      <c r="M447" s="24" t="str">
        <f t="shared" si="11"/>
        <v>-- ,</v>
      </c>
    </row>
    <row r="448" spans="13:13">
      <c r="M448" s="24" t="str">
        <f t="shared" si="11"/>
        <v>-- ,</v>
      </c>
    </row>
    <row r="449" spans="13:13">
      <c r="M449" s="24" t="str">
        <f t="shared" si="11"/>
        <v>-- ,</v>
      </c>
    </row>
    <row r="450" spans="13:13">
      <c r="M450" s="24" t="str">
        <f t="shared" si="11"/>
        <v>-- ,</v>
      </c>
    </row>
    <row r="451" spans="13:13">
      <c r="M451" s="24" t="str">
        <f t="shared" si="11"/>
        <v>-- ,</v>
      </c>
    </row>
    <row r="452" spans="13:13">
      <c r="M452" s="24" t="str">
        <f t="shared" si="11"/>
        <v>-- ,</v>
      </c>
    </row>
    <row r="453" spans="13:13">
      <c r="M453" s="24" t="str">
        <f t="shared" si="11"/>
        <v>-- ,</v>
      </c>
    </row>
    <row r="454" spans="13:13">
      <c r="M454" s="24" t="str">
        <f t="shared" si="11"/>
        <v>-- ,</v>
      </c>
    </row>
    <row r="455" spans="13:13">
      <c r="M455" s="24" t="str">
        <f t="shared" si="11"/>
        <v>-- ,</v>
      </c>
    </row>
    <row r="456" spans="13:13">
      <c r="M456" s="24" t="str">
        <f t="shared" si="11"/>
        <v>-- ,</v>
      </c>
    </row>
    <row r="457" spans="13:13">
      <c r="M457" s="24" t="str">
        <f t="shared" si="11"/>
        <v>-- ,</v>
      </c>
    </row>
    <row r="458" spans="13:13">
      <c r="M458" s="24" t="str">
        <f t="shared" si="11"/>
        <v>-- ,</v>
      </c>
    </row>
    <row r="459" spans="13:13">
      <c r="M459" s="24" t="str">
        <f t="shared" si="11"/>
        <v>-- ,</v>
      </c>
    </row>
    <row r="460" spans="13:13">
      <c r="M460" s="24" t="str">
        <f t="shared" si="11"/>
        <v>-- ,</v>
      </c>
    </row>
    <row r="461" spans="13:13">
      <c r="M461" s="24" t="str">
        <f t="shared" si="11"/>
        <v>-- ,</v>
      </c>
    </row>
    <row r="462" spans="13:13">
      <c r="M462" s="24" t="str">
        <f t="shared" si="11"/>
        <v>-- ,</v>
      </c>
    </row>
    <row r="463" spans="13:13">
      <c r="M463" s="24" t="str">
        <f t="shared" si="11"/>
        <v>-- ,</v>
      </c>
    </row>
    <row r="464" spans="13:13">
      <c r="M464" s="24" t="str">
        <f t="shared" si="11"/>
        <v>-- ,</v>
      </c>
    </row>
    <row r="465" spans="13:13">
      <c r="M465" s="24" t="str">
        <f t="shared" si="11"/>
        <v>-- ,</v>
      </c>
    </row>
    <row r="466" spans="13:13">
      <c r="M466" s="24" t="str">
        <f t="shared" si="11"/>
        <v>-- ,</v>
      </c>
    </row>
    <row r="467" spans="13:13">
      <c r="M467" s="24" t="str">
        <f t="shared" si="11"/>
        <v>-- ,</v>
      </c>
    </row>
    <row r="468" spans="13:13">
      <c r="M468" s="24" t="str">
        <f t="shared" si="11"/>
        <v>-- ,</v>
      </c>
    </row>
    <row r="469" spans="13:13">
      <c r="M469" s="24" t="str">
        <f t="shared" si="11"/>
        <v>-- ,</v>
      </c>
    </row>
    <row r="470" spans="13:13">
      <c r="M470" s="24" t="str">
        <f t="shared" si="11"/>
        <v>-- ,</v>
      </c>
    </row>
    <row r="471" spans="13:13">
      <c r="M471" s="24" t="str">
        <f t="shared" si="11"/>
        <v>-- ,</v>
      </c>
    </row>
    <row r="472" spans="13:13">
      <c r="M472" s="24" t="str">
        <f t="shared" si="11"/>
        <v>-- ,</v>
      </c>
    </row>
    <row r="473" spans="13:13">
      <c r="M473" s="24" t="str">
        <f t="shared" si="11"/>
        <v>-- ,</v>
      </c>
    </row>
    <row r="474" spans="13:13">
      <c r="M474" s="24" t="str">
        <f t="shared" si="11"/>
        <v>-- ,</v>
      </c>
    </row>
    <row r="475" spans="13:13">
      <c r="M475" s="24" t="str">
        <f t="shared" si="11"/>
        <v>-- ,</v>
      </c>
    </row>
    <row r="476" spans="13:13">
      <c r="M476" s="24" t="str">
        <f t="shared" si="11"/>
        <v>-- ,</v>
      </c>
    </row>
    <row r="477" spans="13:13">
      <c r="M477" s="24" t="str">
        <f t="shared" si="11"/>
        <v>-- ,</v>
      </c>
    </row>
    <row r="478" spans="13:13">
      <c r="M478" s="24" t="str">
        <f t="shared" si="11"/>
        <v>-- ,</v>
      </c>
    </row>
    <row r="479" spans="13:13">
      <c r="M479" s="24" t="str">
        <f t="shared" si="11"/>
        <v>-- ,</v>
      </c>
    </row>
    <row r="480" spans="13:13">
      <c r="M480" s="24" t="str">
        <f t="shared" si="11"/>
        <v>-- ,</v>
      </c>
    </row>
    <row r="481" spans="13:13">
      <c r="M481" s="24" t="str">
        <f t="shared" si="11"/>
        <v>-- ,</v>
      </c>
    </row>
    <row r="482" spans="13:13">
      <c r="M482" s="24" t="str">
        <f t="shared" si="11"/>
        <v>-- ,</v>
      </c>
    </row>
    <row r="483" spans="13:13">
      <c r="M483" s="24" t="str">
        <f t="shared" si="11"/>
        <v>-- ,</v>
      </c>
    </row>
    <row r="484" spans="13:13">
      <c r="M484" s="24" t="str">
        <f t="shared" si="11"/>
        <v>-- ,</v>
      </c>
    </row>
    <row r="485" spans="13:13">
      <c r="M485" s="24" t="str">
        <f t="shared" si="11"/>
        <v>-- ,</v>
      </c>
    </row>
    <row r="486" spans="13:13">
      <c r="M486" s="24" t="str">
        <f t="shared" si="11"/>
        <v>-- ,</v>
      </c>
    </row>
    <row r="487" spans="13:13">
      <c r="M487" s="24" t="str">
        <f t="shared" si="11"/>
        <v>-- ,</v>
      </c>
    </row>
    <row r="488" spans="13:13">
      <c r="M488" s="24" t="str">
        <f t="shared" si="11"/>
        <v>-- ,</v>
      </c>
    </row>
    <row r="489" spans="13:13">
      <c r="M489" s="24" t="str">
        <f t="shared" si="11"/>
        <v>-- ,</v>
      </c>
    </row>
    <row r="490" spans="13:13">
      <c r="M490" s="24" t="str">
        <f t="shared" si="11"/>
        <v>-- ,</v>
      </c>
    </row>
    <row r="491" spans="13:13">
      <c r="M491" s="24" t="str">
        <f t="shared" si="11"/>
        <v>-- ,</v>
      </c>
    </row>
    <row r="492" spans="13:13">
      <c r="M492" s="24" t="str">
        <f t="shared" si="11"/>
        <v>-- ,</v>
      </c>
    </row>
    <row r="493" spans="13:13">
      <c r="M493" s="24" t="str">
        <f t="shared" si="11"/>
        <v>-- ,</v>
      </c>
    </row>
    <row r="494" spans="13:13">
      <c r="M494" s="24" t="str">
        <f t="shared" si="11"/>
        <v>-- ,</v>
      </c>
    </row>
    <row r="495" spans="13:13">
      <c r="M495" s="24" t="str">
        <f t="shared" si="11"/>
        <v>-- ,</v>
      </c>
    </row>
    <row r="496" spans="13:13">
      <c r="M496" s="24" t="str">
        <f t="shared" ref="M496:M530" si="12">IF(TRIM($B380)="","-- "&amp;$A380&amp;",",IF(LEFT($B380,2)="--","-- "&amp;$A380&amp;",","")&amp;"EXEC sp_addextendedproperty 'MS_Description', '"&amp;TRIM($C380)&amp;IF($K380="","","("&amp;$K380&amp;")")&amp;"', "&amp;REPT(" ",60-LENB(TRIM($C380)&amp;IF($K380="","","("&amp;$K380&amp;")")))&amp;" 'schema', 'dbo', N'table', '"&amp;TRIM($C$3)&amp;"', 'column', '"&amp;TRIM($B380)&amp;"';"&amp;REPT(" ",20-LENB(TRIM($B380)))&amp;"-- 컬럼")</f>
        <v>-- ,</v>
      </c>
    </row>
    <row r="497" spans="13:13">
      <c r="M497" s="24" t="str">
        <f t="shared" si="12"/>
        <v>-- ,</v>
      </c>
    </row>
    <row r="498" spans="13:13">
      <c r="M498" s="24" t="str">
        <f t="shared" si="12"/>
        <v>-- ,</v>
      </c>
    </row>
    <row r="499" spans="13:13">
      <c r="M499" s="24" t="str">
        <f t="shared" si="12"/>
        <v>-- ,</v>
      </c>
    </row>
    <row r="500" spans="13:13">
      <c r="M500" s="24" t="str">
        <f t="shared" si="12"/>
        <v>-- ,</v>
      </c>
    </row>
    <row r="501" spans="13:13">
      <c r="M501" s="24" t="str">
        <f t="shared" si="12"/>
        <v>-- ,</v>
      </c>
    </row>
    <row r="502" spans="13:13">
      <c r="M502" s="24" t="str">
        <f t="shared" si="12"/>
        <v>-- ,</v>
      </c>
    </row>
    <row r="503" spans="13:13">
      <c r="M503" s="24" t="str">
        <f t="shared" si="12"/>
        <v>-- ,</v>
      </c>
    </row>
    <row r="504" spans="13:13">
      <c r="M504" s="24" t="str">
        <f t="shared" si="12"/>
        <v>-- ,</v>
      </c>
    </row>
    <row r="505" spans="13:13">
      <c r="M505" s="24" t="str">
        <f t="shared" si="12"/>
        <v>-- ,</v>
      </c>
    </row>
    <row r="506" spans="13:13">
      <c r="M506" s="24" t="str">
        <f t="shared" si="12"/>
        <v>-- ,</v>
      </c>
    </row>
    <row r="507" spans="13:13">
      <c r="M507" s="24" t="str">
        <f t="shared" si="12"/>
        <v>-- ,</v>
      </c>
    </row>
    <row r="508" spans="13:13">
      <c r="M508" s="24" t="str">
        <f t="shared" si="12"/>
        <v>-- ,</v>
      </c>
    </row>
    <row r="509" spans="13:13">
      <c r="M509" s="24" t="str">
        <f t="shared" si="12"/>
        <v>-- ,</v>
      </c>
    </row>
    <row r="510" spans="13:13">
      <c r="M510" s="24" t="str">
        <f t="shared" si="12"/>
        <v>-- ,</v>
      </c>
    </row>
    <row r="511" spans="13:13">
      <c r="M511" s="24" t="str">
        <f t="shared" si="12"/>
        <v>-- ,</v>
      </c>
    </row>
    <row r="512" spans="13:13">
      <c r="M512" s="24" t="str">
        <f t="shared" si="12"/>
        <v>-- ,</v>
      </c>
    </row>
    <row r="513" spans="13:13">
      <c r="M513" s="24" t="str">
        <f t="shared" si="12"/>
        <v>-- ,</v>
      </c>
    </row>
    <row r="514" spans="13:13">
      <c r="M514" s="24" t="str">
        <f t="shared" si="12"/>
        <v>-- ,</v>
      </c>
    </row>
    <row r="515" spans="13:13">
      <c r="M515" s="24" t="str">
        <f t="shared" si="12"/>
        <v>-- ,</v>
      </c>
    </row>
    <row r="516" spans="13:13">
      <c r="M516" s="24" t="str">
        <f t="shared" si="12"/>
        <v>-- ,</v>
      </c>
    </row>
    <row r="517" spans="13:13">
      <c r="M517" s="24" t="str">
        <f t="shared" si="12"/>
        <v>-- ,</v>
      </c>
    </row>
    <row r="518" spans="13:13">
      <c r="M518" s="24" t="str">
        <f t="shared" si="12"/>
        <v>-- ,</v>
      </c>
    </row>
    <row r="519" spans="13:13">
      <c r="M519" s="24" t="str">
        <f t="shared" si="12"/>
        <v>-- ,</v>
      </c>
    </row>
    <row r="520" spans="13:13">
      <c r="M520" s="24" t="str">
        <f t="shared" si="12"/>
        <v>-- ,</v>
      </c>
    </row>
    <row r="521" spans="13:13">
      <c r="M521" s="24" t="str">
        <f t="shared" si="12"/>
        <v>-- ,</v>
      </c>
    </row>
    <row r="522" spans="13:13">
      <c r="M522" s="24" t="str">
        <f t="shared" si="12"/>
        <v>-- ,</v>
      </c>
    </row>
    <row r="523" spans="13:13">
      <c r="M523" s="24" t="str">
        <f t="shared" si="12"/>
        <v>-- ,</v>
      </c>
    </row>
    <row r="524" spans="13:13">
      <c r="M524" s="24" t="str">
        <f t="shared" si="12"/>
        <v>-- ,</v>
      </c>
    </row>
    <row r="525" spans="13:13">
      <c r="M525" s="24" t="str">
        <f t="shared" si="12"/>
        <v>-- ,</v>
      </c>
    </row>
    <row r="526" spans="13:13">
      <c r="M526" s="24" t="str">
        <f t="shared" si="12"/>
        <v>-- ,</v>
      </c>
    </row>
    <row r="527" spans="13:13">
      <c r="M527" s="24" t="str">
        <f t="shared" si="12"/>
        <v>-- ,</v>
      </c>
    </row>
    <row r="528" spans="13:13">
      <c r="M528" s="24" t="str">
        <f t="shared" si="12"/>
        <v>-- ,</v>
      </c>
    </row>
    <row r="529" spans="13:13">
      <c r="M529" s="24" t="str">
        <f t="shared" si="12"/>
        <v>-- ,</v>
      </c>
    </row>
    <row r="530" spans="13:13">
      <c r="M530" s="24" t="str">
        <f t="shared" si="12"/>
        <v>-- ,</v>
      </c>
    </row>
    <row r="531" spans="13:13">
      <c r="M531" s="20" t="s">
        <v>655</v>
      </c>
    </row>
    <row r="533" spans="13:13">
      <c r="M533" s="20" t="s">
        <v>656</v>
      </c>
    </row>
  </sheetData>
  <mergeCells count="12">
    <mergeCell ref="A4:B4"/>
    <mergeCell ref="C4:K4"/>
    <mergeCell ref="A5:B5"/>
    <mergeCell ref="D5:E5"/>
    <mergeCell ref="F5:G5"/>
    <mergeCell ref="A1:K1"/>
    <mergeCell ref="A2:B2"/>
    <mergeCell ref="C2:F2"/>
    <mergeCell ref="H2:I2"/>
    <mergeCell ref="A3:B3"/>
    <mergeCell ref="D3:F3"/>
    <mergeCell ref="H3:I3"/>
  </mergeCells>
  <phoneticPr fontId="6" type="noConversion"/>
  <pageMargins left="0.39370078740157483" right="0.39370078740157483" top="0.78740157480314965" bottom="0.39370078740157483" header="0" footer="0"/>
  <pageSetup paperSize="9" scale="93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>
    <tabColor rgb="FFFFFF00"/>
  </sheetPr>
  <dimension ref="A1:V533"/>
  <sheetViews>
    <sheetView showZeros="0" view="pageBreakPreview" zoomScaleNormal="100" zoomScaleSheetLayoutView="100" workbookViewId="0">
      <pane xSplit="1" ySplit="6" topLeftCell="B7" activePane="bottomRight" state="frozen"/>
      <selection activeCell="C25" sqref="C25"/>
      <selection pane="topRight" activeCell="C25" sqref="C25"/>
      <selection pane="bottomLeft" activeCell="C25" sqref="C25"/>
      <selection pane="bottomRight" activeCell="I16" sqref="I16"/>
    </sheetView>
  </sheetViews>
  <sheetFormatPr defaultColWidth="9.375" defaultRowHeight="10.8"/>
  <cols>
    <col min="1" max="1" width="4" style="20" bestFit="1" customWidth="1"/>
    <col min="2" max="2" width="13.375" style="20" customWidth="1"/>
    <col min="3" max="3" width="16.5" style="20" customWidth="1"/>
    <col min="4" max="4" width="13.375" style="28" bestFit="1" customWidth="1"/>
    <col min="5" max="5" width="6" style="28" bestFit="1" customWidth="1"/>
    <col min="6" max="7" width="8" style="20" bestFit="1" customWidth="1"/>
    <col min="8" max="8" width="10" style="20" bestFit="1" customWidth="1"/>
    <col min="9" max="10" width="9" style="20" bestFit="1" customWidth="1"/>
    <col min="11" max="11" width="29" style="20" customWidth="1"/>
    <col min="12" max="12" width="11" style="20" bestFit="1" customWidth="1"/>
    <col min="13" max="13" width="31.375" style="20" customWidth="1"/>
    <col min="14" max="16384" width="9.375" style="20"/>
  </cols>
  <sheetData>
    <row r="1" spans="1:22" ht="26.25" customHeight="1">
      <c r="A1" s="142" t="s">
        <v>24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2" spans="1:22">
      <c r="A2" s="135" t="s">
        <v>7</v>
      </c>
      <c r="B2" s="136"/>
      <c r="C2" s="143" t="str">
        <f>시스템정보!B2</f>
        <v>일대일거래APP</v>
      </c>
      <c r="D2" s="144"/>
      <c r="E2" s="144"/>
      <c r="F2" s="145"/>
      <c r="G2" s="96" t="s">
        <v>9</v>
      </c>
      <c r="H2" s="146" t="s">
        <v>247</v>
      </c>
      <c r="I2" s="147"/>
      <c r="J2" s="96" t="s">
        <v>11</v>
      </c>
      <c r="K2" s="59" t="s">
        <v>662</v>
      </c>
    </row>
    <row r="3" spans="1:22" ht="13.2">
      <c r="A3" s="135" t="s">
        <v>8</v>
      </c>
      <c r="B3" s="136"/>
      <c r="C3" s="32" t="s">
        <v>746</v>
      </c>
      <c r="D3" s="146" t="s">
        <v>745</v>
      </c>
      <c r="E3" s="148"/>
      <c r="F3" s="147"/>
      <c r="G3" s="96" t="s">
        <v>10</v>
      </c>
      <c r="H3" s="146" t="s">
        <v>247</v>
      </c>
      <c r="I3" s="147"/>
      <c r="J3" s="96" t="s">
        <v>18</v>
      </c>
      <c r="K3" s="59" t="s">
        <v>662</v>
      </c>
      <c r="M3" s="22"/>
    </row>
    <row r="4" spans="1:22" ht="13.2">
      <c r="A4" s="135" t="s">
        <v>6</v>
      </c>
      <c r="B4" s="136"/>
      <c r="C4" s="137" t="s">
        <v>747</v>
      </c>
      <c r="D4" s="137"/>
      <c r="E4" s="137"/>
      <c r="F4" s="137"/>
      <c r="G4" s="137"/>
      <c r="H4" s="137"/>
      <c r="I4" s="137"/>
      <c r="J4" s="137"/>
      <c r="K4" s="137"/>
      <c r="M4" s="22" t="str">
        <f>"DROP TABLE "&amp; $C$3 &amp;";"</f>
        <v>DROP TABLE Showcase;</v>
      </c>
    </row>
    <row r="5" spans="1:22" ht="13.2">
      <c r="A5" s="138" t="s">
        <v>136</v>
      </c>
      <c r="B5" s="139"/>
      <c r="C5" s="97" t="s">
        <v>248</v>
      </c>
      <c r="D5" s="138" t="s">
        <v>135</v>
      </c>
      <c r="E5" s="140"/>
      <c r="F5" s="141" t="s">
        <v>664</v>
      </c>
      <c r="G5" s="140"/>
      <c r="H5" s="96" t="s">
        <v>273</v>
      </c>
      <c r="I5" s="97" t="s">
        <v>138</v>
      </c>
      <c r="J5" s="97"/>
      <c r="K5" s="97"/>
      <c r="M5" s="22"/>
    </row>
    <row r="6" spans="1:22">
      <c r="A6" s="96" t="s">
        <v>1</v>
      </c>
      <c r="B6" s="96" t="s">
        <v>12</v>
      </c>
      <c r="C6" s="96" t="s">
        <v>13</v>
      </c>
      <c r="D6" s="96" t="s">
        <v>14</v>
      </c>
      <c r="E6" s="96" t="s">
        <v>15</v>
      </c>
      <c r="F6" s="96" t="s">
        <v>16</v>
      </c>
      <c r="G6" s="96" t="s">
        <v>26</v>
      </c>
      <c r="H6" s="96" t="s">
        <v>25</v>
      </c>
      <c r="I6" s="96" t="s">
        <v>17</v>
      </c>
      <c r="J6" s="96" t="s">
        <v>274</v>
      </c>
      <c r="K6" s="96" t="s">
        <v>6</v>
      </c>
      <c r="M6" s="23" t="str">
        <f>"CREATE TABLE " &amp; $C$3 &amp; " ("</f>
        <v>CREATE TABLE Showcase (</v>
      </c>
      <c r="V6" s="23" t="str">
        <f>LEFT(UPPER($C$3)&amp;REPT(" ",30),30)
&amp;LEFT(SUBSTITUTE(LOWER(MID(SUBSTITUTE(PROPER($C$3),"_",""),1,1))&amp;MID(SUBSTITUTE(PROPER($C$3),"_",""),2,LEN(SUBSTITUTE(PROPER($C$3),"_",""))),"tb","")&amp;REPT(" ",30),30)
&amp;LEFT($D$3&amp;REPT(" ",30),30)</f>
        <v xml:space="preserve">SHOWCASE                      showcase                      진열장                           </v>
      </c>
    </row>
    <row r="7" spans="1:22">
      <c r="A7" s="59">
        <v>1</v>
      </c>
      <c r="B7" s="2" t="s">
        <v>695</v>
      </c>
      <c r="C7" s="2" t="s">
        <v>665</v>
      </c>
      <c r="D7" s="17" t="s">
        <v>275</v>
      </c>
      <c r="E7" s="39">
        <v>256</v>
      </c>
      <c r="F7" s="40"/>
      <c r="G7" s="38"/>
      <c r="H7" s="42"/>
      <c r="I7" s="41"/>
      <c r="J7" s="38"/>
      <c r="K7" s="43"/>
      <c r="M7" s="23" t="str">
        <f>REPT(" ",13)&amp;IF(ISBLANK($B7),"--"&amp;$A7,
LEFT(SUBSTITUTE($B7," ","*")&amp;REPT("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       storeNumber                   VARCHAR(256)                                                ,</v>
      </c>
      <c r="V7" s="23" t="str">
        <f>REPT(" ",6)&amp;
IF(ISBLANK($B7),"--"&amp;UPPER($A7),LEFT(SUBSTITUTE(UPPER($B7)," ","*")&amp;REPT(" ",30),30)&amp;
LEFT("AS " &amp; LOWER(MID(SUBSTITUTE(PROPER($B7),"_",""),1,1))&amp;MID(SUBSTITUTE(PROPER($B7),"_",""),2,LEN(SUBSTITUTE(PROPER($B7),"_","")))&amp;REPT(" ",30),30)&amp;
LEFT(IF(ISBLANK($C7),"/**/","/* "&amp;$C7)&amp;" */"&amp;REPT(" ",30),30))</f>
        <v xml:space="preserve">      STORENUMBER                   AS storenumber                /* 상점번호 */                    </v>
      </c>
    </row>
    <row r="8" spans="1:22">
      <c r="A8" s="59">
        <v>2</v>
      </c>
      <c r="B8" s="2" t="s">
        <v>696</v>
      </c>
      <c r="C8" s="2" t="s">
        <v>666</v>
      </c>
      <c r="D8" s="17" t="s">
        <v>275</v>
      </c>
      <c r="E8" s="33">
        <v>256</v>
      </c>
      <c r="F8" s="39"/>
      <c r="G8" s="44"/>
      <c r="H8" s="38"/>
      <c r="I8" s="41"/>
      <c r="J8" s="38"/>
      <c r="K8" s="43" t="s">
        <v>683</v>
      </c>
      <c r="M8" s="23" t="str">
        <f t="shared" ref="M8:M71" si="0">REPT(" ",13)&amp;IF(ISBLANK($B8),"--"&amp;$A8,
LEFT(SUBSTITUTE($B8," ","*")&amp;REPT(" ",30),30)&amp;
LEFT(IF(ISBLANK($D8),"",IF(OR(UPPER($D8)="DATE",UPPER($D8)="CLOB",UPPER($D8)="BLOB",UPPER($D8)="LONG",UPPER($D8)="TIMESTAMP"),UPPER($D8),IF(ISBLANK($E8),UPPER($D8),UPPER($D8)&amp;"("&amp;$E8&amp;")")))&amp;REPT(" ",15),15)&amp;
LEFT(IF(ISBLANK($F8),"","DEFAULT  "&amp;$F8)&amp;REPT(" ",19),19)&amp;
LEFT(IF(ISBLANK($J8),""," identity(" &amp; $J8 &amp; ") ")&amp;REPT(" ",17),17)&amp;
LEFT(IF(ISBLANK($H8),""," NOT NULL")&amp;REPT(" ",9),9)&amp;
IF(AND(ISBLANK(G$7),ISBLANK($B9)),"",","))</f>
        <v xml:space="preserve">             storeName                     VARCHAR(256)                                                ,</v>
      </c>
      <c r="V8" s="23" t="str">
        <f t="shared" ref="V8:V71" si="1">REPT(" ",6)&amp;
IF(ISBLANK($B8),"--"&amp;UPPER($A8),LEFT(SUBSTITUTE(UPPER($B8)," ","*")&amp;REPT(" ",30),30)&amp;
LEFT("AS " &amp; LOWER(MID(SUBSTITUTE(PROPER($B8),"_",""),1,1))&amp;MID(SUBSTITUTE(PROPER($B8),"_",""),2,LEN(SUBSTITUTE(PROPER($B8),"_","")))&amp;REPT(" ",30),30)&amp;
LEFT(IF(ISBLANK($C8),"/**/","/* "&amp;$C8)&amp;" */"&amp;REPT(" ",30),30))</f>
        <v xml:space="preserve">      STORENAME                     AS storename                  /* 상점명 */                     </v>
      </c>
    </row>
    <row r="9" spans="1:22">
      <c r="A9" s="59">
        <v>3</v>
      </c>
      <c r="B9" s="2" t="s">
        <v>697</v>
      </c>
      <c r="C9" s="2" t="s">
        <v>667</v>
      </c>
      <c r="D9" s="17" t="s">
        <v>275</v>
      </c>
      <c r="E9" s="33">
        <v>256</v>
      </c>
      <c r="F9" s="39"/>
      <c r="G9" s="44"/>
      <c r="H9" s="38"/>
      <c r="I9" s="41"/>
      <c r="J9" s="41"/>
      <c r="K9" s="43" t="s">
        <v>683</v>
      </c>
      <c r="M9" s="23" t="str">
        <f t="shared" si="0"/>
        <v xml:space="preserve">             sellerName                    VARCHAR(256)                                                ,</v>
      </c>
      <c r="V9" s="23" t="str">
        <f t="shared" si="1"/>
        <v xml:space="preserve">      SELLERNAME                    AS sellername                 /* 판매자명 */                    </v>
      </c>
    </row>
    <row r="10" spans="1:22">
      <c r="A10" s="59">
        <v>4</v>
      </c>
      <c r="B10" s="92" t="s">
        <v>678</v>
      </c>
      <c r="C10" s="92" t="s">
        <v>668</v>
      </c>
      <c r="D10" s="17" t="s">
        <v>275</v>
      </c>
      <c r="E10" s="33">
        <v>256</v>
      </c>
      <c r="F10" s="33"/>
      <c r="G10" s="33"/>
      <c r="H10" s="33"/>
      <c r="I10" s="35"/>
      <c r="J10" s="35"/>
      <c r="K10" s="43" t="s">
        <v>683</v>
      </c>
      <c r="M10" s="23" t="str">
        <f t="shared" si="0"/>
        <v xml:space="preserve">             nickName                      VARCHAR(256)                                                ,</v>
      </c>
      <c r="V10" s="23" t="str">
        <f t="shared" si="1"/>
        <v xml:space="preserve">      NICKNAME                      AS nickname                   /* 별명 */                      </v>
      </c>
    </row>
    <row r="11" spans="1:22">
      <c r="A11" s="59">
        <v>5</v>
      </c>
      <c r="B11" s="91" t="s">
        <v>698</v>
      </c>
      <c r="C11" s="91" t="s">
        <v>276</v>
      </c>
      <c r="D11" s="17" t="s">
        <v>275</v>
      </c>
      <c r="E11" s="33">
        <v>256</v>
      </c>
      <c r="F11" s="35"/>
      <c r="G11" s="33"/>
      <c r="H11" s="33"/>
      <c r="I11" s="35"/>
      <c r="J11" s="35"/>
      <c r="K11" s="43" t="s">
        <v>683</v>
      </c>
      <c r="M11" s="23" t="str">
        <f t="shared" si="0"/>
        <v xml:space="preserve">             phoneNumber                   VARCHAR(256)                                                ,</v>
      </c>
      <c r="V11" s="23" t="str">
        <f t="shared" si="1"/>
        <v xml:space="preserve">      PHONENUMBER                   AS phonenumber                /* 전화번호 */                    </v>
      </c>
    </row>
    <row r="12" spans="1:22">
      <c r="A12" s="59">
        <v>6</v>
      </c>
      <c r="B12" s="91" t="s">
        <v>699</v>
      </c>
      <c r="C12" s="91" t="s">
        <v>669</v>
      </c>
      <c r="D12" s="17" t="s">
        <v>275</v>
      </c>
      <c r="E12" s="33">
        <v>256</v>
      </c>
      <c r="F12" s="33"/>
      <c r="G12" s="33"/>
      <c r="H12" s="33"/>
      <c r="I12" s="35"/>
      <c r="J12" s="35"/>
      <c r="K12" s="43" t="s">
        <v>683</v>
      </c>
      <c r="M12" s="23" t="str">
        <f t="shared" si="0"/>
        <v xml:space="preserve">             emailAddress                  VARCHAR(256)                                                ,</v>
      </c>
      <c r="V12" s="23" t="str">
        <f t="shared" si="1"/>
        <v xml:space="preserve">      EMAILADDRESS                  AS emailaddress               /* 이메일주소 */                   </v>
      </c>
    </row>
    <row r="13" spans="1:22">
      <c r="A13" s="59">
        <v>7</v>
      </c>
      <c r="B13" s="91" t="s">
        <v>690</v>
      </c>
      <c r="C13" s="91" t="s">
        <v>701</v>
      </c>
      <c r="D13" s="17" t="s">
        <v>275</v>
      </c>
      <c r="E13" s="33">
        <v>256</v>
      </c>
      <c r="F13" s="35"/>
      <c r="G13" s="33"/>
      <c r="H13" s="33"/>
      <c r="I13" s="35"/>
      <c r="J13" s="35"/>
      <c r="K13" s="43" t="s">
        <v>683</v>
      </c>
      <c r="M13" s="23" t="str">
        <f t="shared" si="0"/>
        <v xml:space="preserve">             zipCode                       VARCHAR(256)                                                ,</v>
      </c>
      <c r="V13" s="23" t="str">
        <f t="shared" si="1"/>
        <v xml:space="preserve">      ZIPCODE                       AS zipcode                    /* 우편번호(지번) */                </v>
      </c>
    </row>
    <row r="14" spans="1:22" ht="21.6">
      <c r="A14" s="59">
        <v>8</v>
      </c>
      <c r="B14" s="91" t="s">
        <v>700</v>
      </c>
      <c r="C14" s="91" t="s">
        <v>702</v>
      </c>
      <c r="D14" s="17" t="s">
        <v>275</v>
      </c>
      <c r="E14" s="33">
        <v>256</v>
      </c>
      <c r="F14" s="33"/>
      <c r="G14" s="33"/>
      <c r="H14" s="33"/>
      <c r="I14" s="35"/>
      <c r="J14" s="35"/>
      <c r="K14" s="43" t="s">
        <v>683</v>
      </c>
      <c r="M14" s="23" t="str">
        <f t="shared" si="0"/>
        <v xml:space="preserve">             postalCode                    VARCHAR(256)                                                ,</v>
      </c>
      <c r="V14" s="23" t="str">
        <f t="shared" si="1"/>
        <v xml:space="preserve">      POSTALCODE                    AS postalcode                 /* 우편번호(도로명) */               </v>
      </c>
    </row>
    <row r="15" spans="1:22">
      <c r="A15" s="59">
        <v>9</v>
      </c>
      <c r="B15" s="91" t="s">
        <v>691</v>
      </c>
      <c r="C15" s="91" t="s">
        <v>689</v>
      </c>
      <c r="D15" s="17" t="s">
        <v>275</v>
      </c>
      <c r="E15" s="33">
        <v>256</v>
      </c>
      <c r="F15" s="33"/>
      <c r="G15" s="33"/>
      <c r="H15" s="33"/>
      <c r="I15" s="35"/>
      <c r="J15" s="35"/>
      <c r="K15" s="43" t="s">
        <v>683</v>
      </c>
      <c r="M15" s="23" t="str">
        <f t="shared" si="0"/>
        <v xml:space="preserve">             baseAddress                   VARCHAR(256)                                                ,</v>
      </c>
      <c r="V15" s="23" t="str">
        <f t="shared" si="1"/>
        <v xml:space="preserve">      BASEADDRESS                   AS baseaddress                /* 기본주소 */                    </v>
      </c>
    </row>
    <row r="16" spans="1:22" ht="21.6">
      <c r="A16" s="59">
        <v>10</v>
      </c>
      <c r="B16" s="91" t="s">
        <v>692</v>
      </c>
      <c r="C16" s="91" t="s">
        <v>694</v>
      </c>
      <c r="D16" s="17" t="s">
        <v>275</v>
      </c>
      <c r="E16" s="33">
        <v>256</v>
      </c>
      <c r="F16" s="35"/>
      <c r="G16" s="33"/>
      <c r="H16" s="33"/>
      <c r="I16" s="35"/>
      <c r="J16" s="35"/>
      <c r="K16" s="43" t="s">
        <v>693</v>
      </c>
      <c r="M16" s="23" t="str">
        <f t="shared" si="0"/>
        <v xml:space="preserve">             availableArea                 VARCHAR(256)                                                ,</v>
      </c>
      <c r="V16" s="23" t="str">
        <f t="shared" si="1"/>
        <v xml:space="preserve">      AVAILABLEAREA                 AS availablearea              /* 판매가능지역 */                  </v>
      </c>
    </row>
    <row r="17" spans="1:22">
      <c r="A17" s="59">
        <v>11</v>
      </c>
      <c r="B17" s="92" t="s">
        <v>709</v>
      </c>
      <c r="C17" s="92" t="s">
        <v>741</v>
      </c>
      <c r="D17" s="17" t="s">
        <v>275</v>
      </c>
      <c r="E17" s="33">
        <v>256</v>
      </c>
      <c r="F17" s="33"/>
      <c r="G17" s="33"/>
      <c r="H17" s="33"/>
      <c r="I17" s="35"/>
      <c r="J17" s="35"/>
      <c r="K17" s="43" t="s">
        <v>711</v>
      </c>
      <c r="M17" s="23" t="str">
        <f t="shared" si="0"/>
        <v xml:space="preserve">             useAt                         VARCHAR(256)                                                ,</v>
      </c>
      <c r="V17" s="23" t="str">
        <f t="shared" si="1"/>
        <v xml:space="preserve">      USEAT                         AS useat                      /* 진열아이디 */                   </v>
      </c>
    </row>
    <row r="18" spans="1:22">
      <c r="A18" s="59">
        <v>12</v>
      </c>
      <c r="B18" s="91" t="s">
        <v>710</v>
      </c>
      <c r="C18" s="91" t="s">
        <v>708</v>
      </c>
      <c r="D18" s="17" t="s">
        <v>275</v>
      </c>
      <c r="E18" s="33">
        <v>256</v>
      </c>
      <c r="F18" s="35"/>
      <c r="G18" s="33"/>
      <c r="H18" s="33"/>
      <c r="I18" s="35"/>
      <c r="J18" s="35"/>
      <c r="K18" s="43" t="s">
        <v>711</v>
      </c>
      <c r="M18" s="23" t="str">
        <f t="shared" si="0"/>
        <v xml:space="preserve">             delAt                         VARCHAR(256)                                                ,</v>
      </c>
      <c r="V18" s="23" t="str">
        <f t="shared" si="1"/>
        <v xml:space="preserve">      DELAT                         AS delat                      /* 삭제여부 */                    </v>
      </c>
    </row>
    <row r="19" spans="1:22">
      <c r="A19" s="59">
        <v>13</v>
      </c>
      <c r="B19" s="92" t="s">
        <v>671</v>
      </c>
      <c r="C19" s="92" t="s">
        <v>635</v>
      </c>
      <c r="D19" s="17" t="s">
        <v>275</v>
      </c>
      <c r="E19" s="33">
        <v>256</v>
      </c>
      <c r="F19" s="33"/>
      <c r="G19" s="33"/>
      <c r="H19" s="33"/>
      <c r="I19" s="35"/>
      <c r="J19" s="35"/>
      <c r="K19" s="43"/>
      <c r="M19" s="23" t="str">
        <f t="shared" si="0"/>
        <v xml:space="preserve">             createId                      VARCHAR(256)                                                ,</v>
      </c>
      <c r="V19" s="23" t="str">
        <f t="shared" si="1"/>
        <v xml:space="preserve">      CREATEID                      AS createid                   /* 생성자 */                     </v>
      </c>
    </row>
    <row r="20" spans="1:22">
      <c r="A20" s="59">
        <v>14</v>
      </c>
      <c r="B20" s="91" t="s">
        <v>674</v>
      </c>
      <c r="C20" s="91" t="s">
        <v>636</v>
      </c>
      <c r="D20" s="17" t="s">
        <v>275</v>
      </c>
      <c r="E20" s="33">
        <v>256</v>
      </c>
      <c r="F20" s="35"/>
      <c r="G20" s="33"/>
      <c r="H20" s="33"/>
      <c r="I20" s="35"/>
      <c r="J20" s="35"/>
      <c r="K20" s="43"/>
      <c r="M20" s="23" t="str">
        <f t="shared" si="0"/>
        <v xml:space="preserve">             createDate                    VARCHAR(256)                                                ,</v>
      </c>
      <c r="V20" s="23" t="str">
        <f t="shared" si="1"/>
        <v xml:space="preserve">      CREATEDATE                    AS createdate                 /* 생성 일시 */                   </v>
      </c>
    </row>
    <row r="21" spans="1:22">
      <c r="A21" s="59">
        <v>15</v>
      </c>
      <c r="B21" s="91" t="s">
        <v>672</v>
      </c>
      <c r="C21" s="91" t="s">
        <v>682</v>
      </c>
      <c r="D21" s="33" t="s">
        <v>275</v>
      </c>
      <c r="E21" s="33">
        <v>256</v>
      </c>
      <c r="F21" s="33"/>
      <c r="G21" s="33"/>
      <c r="H21" s="33"/>
      <c r="I21" s="35"/>
      <c r="J21" s="35"/>
      <c r="K21" s="90"/>
      <c r="M21" s="23" t="str">
        <f t="shared" si="0"/>
        <v xml:space="preserve">             updateId                      VARCHAR(256)                                                ,</v>
      </c>
      <c r="V21" s="23" t="str">
        <f t="shared" si="1"/>
        <v xml:space="preserve">      UPDATEID                      AS updateid                   /* 수정자 */                     </v>
      </c>
    </row>
    <row r="22" spans="1:22">
      <c r="A22" s="59">
        <v>16</v>
      </c>
      <c r="B22" s="91" t="s">
        <v>673</v>
      </c>
      <c r="C22" s="91" t="s">
        <v>637</v>
      </c>
      <c r="D22" s="17" t="s">
        <v>275</v>
      </c>
      <c r="E22" s="33">
        <v>256</v>
      </c>
      <c r="F22" s="35"/>
      <c r="G22" s="33"/>
      <c r="H22" s="33"/>
      <c r="I22" s="35"/>
      <c r="J22" s="35"/>
      <c r="K22" s="90"/>
      <c r="M22" s="23" t="str">
        <f t="shared" si="0"/>
        <v xml:space="preserve">             updateDate                    VARCHAR(256)                                                </v>
      </c>
      <c r="V22" s="23" t="str">
        <f t="shared" si="1"/>
        <v xml:space="preserve">      UPDATEDATE                    AS updatedate                 /* 갱신 일시 */                   </v>
      </c>
    </row>
    <row r="23" spans="1:22">
      <c r="A23" s="59">
        <v>17</v>
      </c>
      <c r="B23" s="91"/>
      <c r="C23" s="91"/>
      <c r="D23" s="33"/>
      <c r="E23" s="33"/>
      <c r="F23" s="35"/>
      <c r="G23" s="33"/>
      <c r="H23" s="33"/>
      <c r="I23" s="35"/>
      <c r="J23" s="35"/>
      <c r="K23" s="90"/>
      <c r="M23" s="23" t="str">
        <f t="shared" si="0"/>
        <v xml:space="preserve">             --17</v>
      </c>
      <c r="V23" s="23" t="str">
        <f t="shared" si="1"/>
        <v xml:space="preserve">      --17</v>
      </c>
    </row>
    <row r="24" spans="1:22">
      <c r="A24" s="59">
        <v>18</v>
      </c>
      <c r="B24" s="91"/>
      <c r="C24" s="91"/>
      <c r="D24" s="33"/>
      <c r="E24" s="33"/>
      <c r="F24" s="33"/>
      <c r="G24" s="33"/>
      <c r="H24" s="33"/>
      <c r="I24" s="35"/>
      <c r="J24" s="35"/>
      <c r="K24" s="90"/>
      <c r="M24" s="23" t="str">
        <f t="shared" si="0"/>
        <v xml:space="preserve">             --18</v>
      </c>
      <c r="V24" s="23" t="str">
        <f t="shared" si="1"/>
        <v xml:space="preserve">      --18</v>
      </c>
    </row>
    <row r="25" spans="1:22">
      <c r="A25" s="59">
        <v>19</v>
      </c>
      <c r="B25" s="91"/>
      <c r="C25" s="2"/>
      <c r="D25" s="38"/>
      <c r="E25" s="39"/>
      <c r="F25" s="33"/>
      <c r="G25" s="33"/>
      <c r="H25" s="33"/>
      <c r="I25" s="93"/>
      <c r="J25" s="93"/>
      <c r="K25" s="19"/>
      <c r="M25" s="23" t="str">
        <f t="shared" si="0"/>
        <v xml:space="preserve">             --19</v>
      </c>
      <c r="V25" s="23" t="str">
        <f t="shared" si="1"/>
        <v xml:space="preserve">      --19</v>
      </c>
    </row>
    <row r="26" spans="1:22">
      <c r="A26" s="59">
        <v>20</v>
      </c>
      <c r="B26" s="92"/>
      <c r="C26" s="92"/>
      <c r="D26" s="33"/>
      <c r="E26" s="33"/>
      <c r="F26" s="33"/>
      <c r="G26" s="33"/>
      <c r="H26" s="33"/>
      <c r="I26" s="93"/>
      <c r="J26" s="93"/>
      <c r="K26" s="19"/>
      <c r="M26" s="23" t="str">
        <f t="shared" si="0"/>
        <v xml:space="preserve">             --20</v>
      </c>
      <c r="V26" s="23" t="str">
        <f t="shared" si="1"/>
        <v xml:space="preserve">      --20</v>
      </c>
    </row>
    <row r="27" spans="1:22">
      <c r="A27" s="59">
        <v>21</v>
      </c>
      <c r="B27" s="91"/>
      <c r="C27" s="91"/>
      <c r="D27" s="33"/>
      <c r="E27" s="33"/>
      <c r="F27" s="33"/>
      <c r="G27" s="33"/>
      <c r="H27" s="33"/>
      <c r="I27" s="35"/>
      <c r="J27" s="35"/>
      <c r="K27" s="90"/>
      <c r="M27" s="23" t="str">
        <f t="shared" si="0"/>
        <v xml:space="preserve">             --21</v>
      </c>
      <c r="V27" s="23" t="str">
        <f t="shared" si="1"/>
        <v xml:space="preserve">      --21</v>
      </c>
    </row>
    <row r="28" spans="1:22">
      <c r="A28" s="59">
        <v>22</v>
      </c>
      <c r="B28" s="91"/>
      <c r="C28" s="91"/>
      <c r="D28" s="33"/>
      <c r="E28" s="33"/>
      <c r="F28" s="33"/>
      <c r="G28" s="33"/>
      <c r="H28" s="33"/>
      <c r="I28" s="35"/>
      <c r="J28" s="35"/>
      <c r="K28" s="90"/>
      <c r="M28" s="23" t="str">
        <f t="shared" si="0"/>
        <v xml:space="preserve">             --22</v>
      </c>
      <c r="V28" s="23" t="str">
        <f t="shared" si="1"/>
        <v xml:space="preserve">      --22</v>
      </c>
    </row>
    <row r="29" spans="1:22">
      <c r="A29" s="59">
        <v>23</v>
      </c>
      <c r="B29" s="91"/>
      <c r="C29" s="91"/>
      <c r="D29" s="33"/>
      <c r="E29" s="33"/>
      <c r="F29" s="33"/>
      <c r="G29" s="33"/>
      <c r="H29" s="33"/>
      <c r="I29" s="35"/>
      <c r="J29" s="35"/>
      <c r="K29" s="90"/>
      <c r="M29" s="23" t="str">
        <f t="shared" si="0"/>
        <v xml:space="preserve">             --23</v>
      </c>
      <c r="V29" s="23" t="str">
        <f t="shared" si="1"/>
        <v xml:space="preserve">      --23</v>
      </c>
    </row>
    <row r="30" spans="1:22">
      <c r="A30" s="59">
        <v>24</v>
      </c>
      <c r="B30" s="91"/>
      <c r="C30" s="91"/>
      <c r="D30" s="33"/>
      <c r="E30" s="33"/>
      <c r="F30" s="35"/>
      <c r="G30" s="33"/>
      <c r="H30" s="33"/>
      <c r="I30" s="35"/>
      <c r="J30" s="35"/>
      <c r="K30" s="90"/>
      <c r="M30" s="23" t="str">
        <f t="shared" si="0"/>
        <v xml:space="preserve">             --24</v>
      </c>
      <c r="V30" s="23" t="str">
        <f t="shared" si="1"/>
        <v xml:space="preserve">      --24</v>
      </c>
    </row>
    <row r="31" spans="1:22">
      <c r="A31" s="59">
        <v>25</v>
      </c>
      <c r="B31" s="91"/>
      <c r="C31" s="91"/>
      <c r="D31" s="33"/>
      <c r="E31" s="33"/>
      <c r="F31" s="33"/>
      <c r="G31" s="33"/>
      <c r="H31" s="33"/>
      <c r="I31" s="35"/>
      <c r="J31" s="35"/>
      <c r="K31" s="90"/>
      <c r="M31" s="23" t="str">
        <f t="shared" si="0"/>
        <v xml:space="preserve">             --25</v>
      </c>
      <c r="V31" s="23" t="str">
        <f t="shared" si="1"/>
        <v xml:space="preserve">      --25</v>
      </c>
    </row>
    <row r="32" spans="1:22">
      <c r="A32" s="59">
        <v>26</v>
      </c>
      <c r="B32" s="91"/>
      <c r="C32" s="2"/>
      <c r="D32" s="38"/>
      <c r="E32" s="39"/>
      <c r="F32" s="33"/>
      <c r="G32" s="33"/>
      <c r="H32" s="33"/>
      <c r="I32" s="93"/>
      <c r="J32" s="93"/>
      <c r="K32" s="19"/>
      <c r="M32" s="23" t="str">
        <f t="shared" si="0"/>
        <v xml:space="preserve">             --26</v>
      </c>
      <c r="V32" s="23" t="str">
        <f t="shared" si="1"/>
        <v xml:space="preserve">      --26</v>
      </c>
    </row>
    <row r="33" spans="1:22">
      <c r="A33" s="59">
        <v>27</v>
      </c>
      <c r="B33" s="92"/>
      <c r="C33" s="92"/>
      <c r="D33" s="33"/>
      <c r="E33" s="33"/>
      <c r="F33" s="33"/>
      <c r="G33" s="33"/>
      <c r="H33" s="33"/>
      <c r="I33" s="93"/>
      <c r="J33" s="93"/>
      <c r="K33" s="19"/>
      <c r="M33" s="23" t="str">
        <f t="shared" si="0"/>
        <v xml:space="preserve">             --27</v>
      </c>
      <c r="V33" s="23" t="str">
        <f t="shared" si="1"/>
        <v xml:space="preserve">      --27</v>
      </c>
    </row>
    <row r="34" spans="1:22">
      <c r="A34" s="59">
        <v>28</v>
      </c>
      <c r="B34" s="91"/>
      <c r="C34" s="91"/>
      <c r="D34" s="33"/>
      <c r="E34" s="33"/>
      <c r="F34" s="33"/>
      <c r="G34" s="33"/>
      <c r="H34" s="33"/>
      <c r="I34" s="35"/>
      <c r="J34" s="35"/>
      <c r="K34" s="90"/>
      <c r="M34" s="23" t="str">
        <f t="shared" si="0"/>
        <v xml:space="preserve">             --28</v>
      </c>
      <c r="V34" s="23" t="str">
        <f t="shared" si="1"/>
        <v xml:space="preserve">      --28</v>
      </c>
    </row>
    <row r="35" spans="1:22">
      <c r="A35" s="59">
        <v>29</v>
      </c>
      <c r="B35" s="91"/>
      <c r="C35" s="91"/>
      <c r="D35" s="33"/>
      <c r="E35" s="33"/>
      <c r="F35" s="33"/>
      <c r="G35" s="33"/>
      <c r="H35" s="33"/>
      <c r="I35" s="35"/>
      <c r="J35" s="35"/>
      <c r="K35" s="90"/>
      <c r="M35" s="23" t="str">
        <f t="shared" si="0"/>
        <v xml:space="preserve">             --29</v>
      </c>
      <c r="V35" s="23" t="str">
        <f t="shared" si="1"/>
        <v xml:space="preserve">      --29</v>
      </c>
    </row>
    <row r="36" spans="1:22">
      <c r="A36" s="59">
        <v>30</v>
      </c>
      <c r="B36" s="91"/>
      <c r="C36" s="91"/>
      <c r="D36" s="33"/>
      <c r="E36" s="33"/>
      <c r="F36" s="33"/>
      <c r="G36" s="33"/>
      <c r="H36" s="33"/>
      <c r="I36" s="35"/>
      <c r="J36" s="35"/>
      <c r="K36" s="90"/>
      <c r="M36" s="23" t="str">
        <f t="shared" si="0"/>
        <v xml:space="preserve">             --30</v>
      </c>
      <c r="V36" s="23" t="str">
        <f t="shared" si="1"/>
        <v xml:space="preserve">      --30</v>
      </c>
    </row>
    <row r="37" spans="1:22">
      <c r="A37" s="59">
        <v>31</v>
      </c>
      <c r="B37" s="91"/>
      <c r="C37" s="91"/>
      <c r="D37" s="33"/>
      <c r="E37" s="33"/>
      <c r="F37" s="35"/>
      <c r="G37" s="33"/>
      <c r="H37" s="33"/>
      <c r="I37" s="35"/>
      <c r="J37" s="35"/>
      <c r="K37" s="90"/>
      <c r="M37" s="23" t="str">
        <f t="shared" si="0"/>
        <v xml:space="preserve">             --31</v>
      </c>
      <c r="V37" s="23" t="str">
        <f t="shared" si="1"/>
        <v xml:space="preserve">      --31</v>
      </c>
    </row>
    <row r="38" spans="1:22">
      <c r="A38" s="59">
        <v>32</v>
      </c>
      <c r="B38" s="91"/>
      <c r="C38" s="91"/>
      <c r="D38" s="33"/>
      <c r="E38" s="33"/>
      <c r="F38" s="33"/>
      <c r="G38" s="33"/>
      <c r="H38" s="33"/>
      <c r="I38" s="35"/>
      <c r="J38" s="35"/>
      <c r="K38" s="90"/>
      <c r="M38" s="23" t="str">
        <f t="shared" si="0"/>
        <v xml:space="preserve">             --32</v>
      </c>
      <c r="V38" s="23" t="str">
        <f t="shared" si="1"/>
        <v xml:space="preserve">      --32</v>
      </c>
    </row>
    <row r="39" spans="1:22">
      <c r="A39" s="59">
        <v>33</v>
      </c>
      <c r="B39" s="91"/>
      <c r="C39" s="2"/>
      <c r="D39" s="38"/>
      <c r="E39" s="39"/>
      <c r="F39" s="33"/>
      <c r="G39" s="33"/>
      <c r="H39" s="33"/>
      <c r="I39" s="93"/>
      <c r="J39" s="93"/>
      <c r="K39" s="19"/>
      <c r="M39" s="23" t="str">
        <f t="shared" si="0"/>
        <v xml:space="preserve">             --33</v>
      </c>
      <c r="V39" s="23" t="str">
        <f t="shared" si="1"/>
        <v xml:space="preserve">      --33</v>
      </c>
    </row>
    <row r="40" spans="1:22">
      <c r="A40" s="59">
        <v>34</v>
      </c>
      <c r="B40" s="92"/>
      <c r="C40" s="92"/>
      <c r="D40" s="33"/>
      <c r="E40" s="33"/>
      <c r="F40" s="33"/>
      <c r="G40" s="33"/>
      <c r="H40" s="33"/>
      <c r="I40" s="93"/>
      <c r="J40" s="93"/>
      <c r="K40" s="19"/>
      <c r="M40" s="23" t="str">
        <f t="shared" si="0"/>
        <v xml:space="preserve">             --34</v>
      </c>
      <c r="V40" s="23" t="str">
        <f t="shared" si="1"/>
        <v xml:space="preserve">      --34</v>
      </c>
    </row>
    <row r="41" spans="1:22">
      <c r="A41" s="59">
        <v>35</v>
      </c>
      <c r="B41" s="91"/>
      <c r="C41" s="91"/>
      <c r="D41" s="33"/>
      <c r="E41" s="33"/>
      <c r="F41" s="33"/>
      <c r="G41" s="33"/>
      <c r="H41" s="33"/>
      <c r="I41" s="35"/>
      <c r="J41" s="35"/>
      <c r="K41" s="90"/>
      <c r="M41" s="23" t="str">
        <f t="shared" si="0"/>
        <v xml:space="preserve">             --35</v>
      </c>
      <c r="V41" s="23" t="str">
        <f t="shared" si="1"/>
        <v xml:space="preserve">      --35</v>
      </c>
    </row>
    <row r="42" spans="1:22">
      <c r="A42" s="59">
        <v>36</v>
      </c>
      <c r="B42" s="91"/>
      <c r="C42" s="91"/>
      <c r="D42" s="33"/>
      <c r="E42" s="33"/>
      <c r="F42" s="33"/>
      <c r="G42" s="33"/>
      <c r="H42" s="33"/>
      <c r="I42" s="35"/>
      <c r="J42" s="35"/>
      <c r="K42" s="90"/>
      <c r="M42" s="23" t="str">
        <f t="shared" si="0"/>
        <v xml:space="preserve">             --36</v>
      </c>
      <c r="V42" s="23" t="str">
        <f t="shared" si="1"/>
        <v xml:space="preserve">      --36</v>
      </c>
    </row>
    <row r="43" spans="1:22">
      <c r="A43" s="59">
        <v>37</v>
      </c>
      <c r="B43" s="91"/>
      <c r="C43" s="91"/>
      <c r="D43" s="17"/>
      <c r="E43" s="33"/>
      <c r="F43" s="35"/>
      <c r="G43" s="33"/>
      <c r="H43" s="33"/>
      <c r="I43" s="35"/>
      <c r="J43" s="35"/>
      <c r="K43" s="90"/>
      <c r="M43" s="23" t="str">
        <f t="shared" si="0"/>
        <v xml:space="preserve">             --37</v>
      </c>
      <c r="V43" s="23" t="str">
        <f t="shared" si="1"/>
        <v xml:space="preserve">      --37</v>
      </c>
    </row>
    <row r="44" spans="1:22">
      <c r="A44" s="59">
        <v>38</v>
      </c>
      <c r="B44" s="91"/>
      <c r="C44" s="91"/>
      <c r="D44" s="33"/>
      <c r="E44" s="33"/>
      <c r="F44" s="33"/>
      <c r="G44" s="33"/>
      <c r="H44" s="33"/>
      <c r="I44" s="35"/>
      <c r="J44" s="35"/>
      <c r="K44" s="90"/>
      <c r="M44" s="23" t="str">
        <f t="shared" si="0"/>
        <v xml:space="preserve">             --38</v>
      </c>
      <c r="V44" s="23" t="str">
        <f t="shared" si="1"/>
        <v xml:space="preserve">      --38</v>
      </c>
    </row>
    <row r="45" spans="1:22">
      <c r="A45" s="59">
        <v>39</v>
      </c>
      <c r="B45" s="91"/>
      <c r="C45" s="91"/>
      <c r="D45" s="33"/>
      <c r="E45" s="33"/>
      <c r="F45" s="33"/>
      <c r="G45" s="33"/>
      <c r="H45" s="33"/>
      <c r="I45" s="35"/>
      <c r="J45" s="35"/>
      <c r="K45" s="90"/>
      <c r="M45" s="23" t="str">
        <f t="shared" si="0"/>
        <v xml:space="preserve">             --39</v>
      </c>
      <c r="V45" s="23" t="str">
        <f t="shared" si="1"/>
        <v xml:space="preserve">      --39</v>
      </c>
    </row>
    <row r="46" spans="1:22">
      <c r="A46" s="59">
        <v>40</v>
      </c>
      <c r="B46" s="92"/>
      <c r="C46" s="92"/>
      <c r="D46" s="33"/>
      <c r="E46" s="33"/>
      <c r="F46" s="33"/>
      <c r="G46" s="33"/>
      <c r="H46" s="33"/>
      <c r="I46" s="93"/>
      <c r="J46" s="93"/>
      <c r="K46" s="19"/>
      <c r="M46" s="23" t="str">
        <f t="shared" si="0"/>
        <v xml:space="preserve">             --40</v>
      </c>
      <c r="V46" s="23" t="str">
        <f t="shared" si="1"/>
        <v xml:space="preserve">      --40</v>
      </c>
    </row>
    <row r="47" spans="1:22">
      <c r="A47" s="59">
        <v>41</v>
      </c>
      <c r="B47" s="91"/>
      <c r="C47" s="91"/>
      <c r="D47" s="33"/>
      <c r="E47" s="33"/>
      <c r="F47" s="33"/>
      <c r="G47" s="33"/>
      <c r="H47" s="33"/>
      <c r="I47" s="35"/>
      <c r="J47" s="35"/>
      <c r="K47" s="90"/>
      <c r="M47" s="23" t="str">
        <f t="shared" si="0"/>
        <v xml:space="preserve">             --41</v>
      </c>
      <c r="V47" s="23" t="str">
        <f t="shared" si="1"/>
        <v xml:space="preserve">      --41</v>
      </c>
    </row>
    <row r="48" spans="1:22">
      <c r="A48" s="59">
        <v>42</v>
      </c>
      <c r="B48" s="91"/>
      <c r="C48" s="2"/>
      <c r="D48" s="38"/>
      <c r="E48" s="39"/>
      <c r="F48" s="33"/>
      <c r="G48" s="33"/>
      <c r="H48" s="33"/>
      <c r="I48" s="93"/>
      <c r="J48" s="93"/>
      <c r="K48" s="19"/>
      <c r="M48" s="23" t="str">
        <f t="shared" si="0"/>
        <v xml:space="preserve">             --42</v>
      </c>
      <c r="V48" s="23" t="str">
        <f t="shared" si="1"/>
        <v xml:space="preserve">      --42</v>
      </c>
    </row>
    <row r="49" spans="1:22">
      <c r="A49" s="59">
        <v>43</v>
      </c>
      <c r="B49" s="92"/>
      <c r="C49" s="92"/>
      <c r="D49" s="33"/>
      <c r="E49" s="33"/>
      <c r="F49" s="33"/>
      <c r="G49" s="33"/>
      <c r="H49" s="33"/>
      <c r="I49" s="93"/>
      <c r="J49" s="93"/>
      <c r="K49" s="19"/>
      <c r="M49" s="23" t="str">
        <f t="shared" si="0"/>
        <v xml:space="preserve">             --43</v>
      </c>
      <c r="V49" s="23" t="str">
        <f t="shared" si="1"/>
        <v xml:space="preserve">      --43</v>
      </c>
    </row>
    <row r="50" spans="1:22">
      <c r="A50" s="59">
        <v>44</v>
      </c>
      <c r="B50" s="91"/>
      <c r="C50" s="91"/>
      <c r="D50" s="33"/>
      <c r="E50" s="33"/>
      <c r="F50" s="33"/>
      <c r="G50" s="33"/>
      <c r="H50" s="33"/>
      <c r="I50" s="35"/>
      <c r="J50" s="35"/>
      <c r="K50" s="90"/>
      <c r="M50" s="23" t="str">
        <f t="shared" si="0"/>
        <v xml:space="preserve">             --44</v>
      </c>
      <c r="V50" s="23" t="str">
        <f t="shared" si="1"/>
        <v xml:space="preserve">      --44</v>
      </c>
    </row>
    <row r="51" spans="1:22">
      <c r="A51" s="59">
        <v>45</v>
      </c>
      <c r="B51" s="91"/>
      <c r="C51" s="91"/>
      <c r="D51" s="33"/>
      <c r="E51" s="33"/>
      <c r="F51" s="33"/>
      <c r="G51" s="33"/>
      <c r="H51" s="33"/>
      <c r="I51" s="35"/>
      <c r="J51" s="35"/>
      <c r="K51" s="90"/>
      <c r="M51" s="23" t="str">
        <f t="shared" si="0"/>
        <v xml:space="preserve">             --45</v>
      </c>
      <c r="V51" s="23" t="str">
        <f t="shared" si="1"/>
        <v xml:space="preserve">      --45</v>
      </c>
    </row>
    <row r="52" spans="1:22">
      <c r="A52" s="59">
        <v>46</v>
      </c>
      <c r="B52" s="91"/>
      <c r="C52" s="91"/>
      <c r="D52" s="17"/>
      <c r="E52" s="33"/>
      <c r="F52" s="35"/>
      <c r="G52" s="33"/>
      <c r="H52" s="33"/>
      <c r="I52" s="35"/>
      <c r="J52" s="35"/>
      <c r="K52" s="90"/>
      <c r="M52" s="23" t="str">
        <f t="shared" si="0"/>
        <v xml:space="preserve">             --46</v>
      </c>
      <c r="V52" s="23" t="str">
        <f t="shared" si="1"/>
        <v xml:space="preserve">      --46</v>
      </c>
    </row>
    <row r="53" spans="1:22">
      <c r="A53" s="59">
        <v>47</v>
      </c>
      <c r="B53" s="91"/>
      <c r="C53" s="91"/>
      <c r="D53" s="33"/>
      <c r="E53" s="33"/>
      <c r="F53" s="33"/>
      <c r="G53" s="33"/>
      <c r="H53" s="33"/>
      <c r="I53" s="35"/>
      <c r="J53" s="35"/>
      <c r="K53" s="90"/>
      <c r="M53" s="23" t="str">
        <f t="shared" si="0"/>
        <v xml:space="preserve">             --47</v>
      </c>
      <c r="V53" s="23" t="str">
        <f t="shared" si="1"/>
        <v xml:space="preserve">      --47</v>
      </c>
    </row>
    <row r="54" spans="1:22">
      <c r="A54" s="59">
        <v>48</v>
      </c>
      <c r="B54" s="91"/>
      <c r="C54" s="91"/>
      <c r="D54" s="33"/>
      <c r="E54" s="33"/>
      <c r="F54" s="33"/>
      <c r="G54" s="33"/>
      <c r="H54" s="33"/>
      <c r="I54" s="35"/>
      <c r="J54" s="35"/>
      <c r="K54" s="90"/>
      <c r="M54" s="23" t="str">
        <f t="shared" si="0"/>
        <v xml:space="preserve">             --48</v>
      </c>
      <c r="V54" s="23" t="str">
        <f t="shared" si="1"/>
        <v xml:space="preserve">      --48</v>
      </c>
    </row>
    <row r="55" spans="1:22">
      <c r="A55" s="59">
        <v>49</v>
      </c>
      <c r="B55" s="92"/>
      <c r="C55" s="92"/>
      <c r="D55" s="33"/>
      <c r="E55" s="33"/>
      <c r="F55" s="33"/>
      <c r="G55" s="33"/>
      <c r="H55" s="33"/>
      <c r="I55" s="93"/>
      <c r="J55" s="93"/>
      <c r="K55" s="19"/>
      <c r="M55" s="23" t="str">
        <f t="shared" si="0"/>
        <v xml:space="preserve">             --49</v>
      </c>
      <c r="V55" s="23" t="str">
        <f t="shared" si="1"/>
        <v xml:space="preserve">      --49</v>
      </c>
    </row>
    <row r="56" spans="1:22">
      <c r="A56" s="59">
        <v>50</v>
      </c>
      <c r="B56" s="92"/>
      <c r="C56" s="92"/>
      <c r="D56" s="33"/>
      <c r="E56" s="33"/>
      <c r="F56" s="33"/>
      <c r="G56" s="33"/>
      <c r="H56" s="33"/>
      <c r="I56" s="93"/>
      <c r="J56" s="93"/>
      <c r="K56" s="19"/>
      <c r="M56" s="23" t="str">
        <f t="shared" si="0"/>
        <v xml:space="preserve">             --50</v>
      </c>
      <c r="V56" s="23" t="str">
        <f t="shared" si="1"/>
        <v xml:space="preserve">      --50</v>
      </c>
    </row>
    <row r="57" spans="1:22">
      <c r="A57" s="59">
        <v>51</v>
      </c>
      <c r="B57" s="92"/>
      <c r="C57" s="92"/>
      <c r="D57" s="33"/>
      <c r="E57" s="33"/>
      <c r="F57" s="33"/>
      <c r="G57" s="33"/>
      <c r="H57" s="33"/>
      <c r="I57" s="93"/>
      <c r="J57" s="93"/>
      <c r="K57" s="19"/>
      <c r="M57" s="23" t="str">
        <f t="shared" si="0"/>
        <v xml:space="preserve">             --51</v>
      </c>
      <c r="V57" s="23" t="str">
        <f t="shared" si="1"/>
        <v xml:space="preserve">      --51</v>
      </c>
    </row>
    <row r="58" spans="1:22">
      <c r="A58" s="59">
        <v>52</v>
      </c>
      <c r="B58" s="92"/>
      <c r="C58" s="92"/>
      <c r="D58" s="33"/>
      <c r="E58" s="33"/>
      <c r="F58" s="33"/>
      <c r="G58" s="33"/>
      <c r="H58" s="33"/>
      <c r="I58" s="93"/>
      <c r="J58" s="93"/>
      <c r="K58" s="19"/>
      <c r="M58" s="23" t="str">
        <f t="shared" si="0"/>
        <v xml:space="preserve">             --52</v>
      </c>
      <c r="V58" s="23" t="str">
        <f t="shared" si="1"/>
        <v xml:space="preserve">      --52</v>
      </c>
    </row>
    <row r="59" spans="1:22">
      <c r="A59" s="59">
        <v>53</v>
      </c>
      <c r="B59" s="92"/>
      <c r="C59" s="92"/>
      <c r="D59" s="33"/>
      <c r="E59" s="33"/>
      <c r="F59" s="33"/>
      <c r="G59" s="33"/>
      <c r="H59" s="33"/>
      <c r="I59" s="93"/>
      <c r="J59" s="93"/>
      <c r="K59" s="19"/>
      <c r="M59" s="23" t="str">
        <f t="shared" si="0"/>
        <v xml:space="preserve">             --53</v>
      </c>
      <c r="V59" s="23" t="str">
        <f t="shared" si="1"/>
        <v xml:space="preserve">      --53</v>
      </c>
    </row>
    <row r="60" spans="1:22">
      <c r="A60" s="59">
        <v>54</v>
      </c>
      <c r="B60" s="92"/>
      <c r="C60" s="92"/>
      <c r="D60" s="33"/>
      <c r="E60" s="33"/>
      <c r="F60" s="33"/>
      <c r="G60" s="33"/>
      <c r="H60" s="33"/>
      <c r="I60" s="93"/>
      <c r="J60" s="93"/>
      <c r="K60" s="19"/>
      <c r="M60" s="23" t="str">
        <f t="shared" si="0"/>
        <v xml:space="preserve">             --54</v>
      </c>
      <c r="V60" s="23" t="str">
        <f t="shared" si="1"/>
        <v xml:space="preserve">      --54</v>
      </c>
    </row>
    <row r="61" spans="1:22">
      <c r="A61" s="59">
        <v>55</v>
      </c>
      <c r="B61" s="92"/>
      <c r="C61" s="92"/>
      <c r="D61" s="33"/>
      <c r="E61" s="33"/>
      <c r="F61" s="33"/>
      <c r="G61" s="33"/>
      <c r="H61" s="33"/>
      <c r="I61" s="93"/>
      <c r="J61" s="93"/>
      <c r="K61" s="19"/>
      <c r="M61" s="23" t="str">
        <f t="shared" si="0"/>
        <v xml:space="preserve">             --55</v>
      </c>
      <c r="V61" s="23" t="str">
        <f t="shared" si="1"/>
        <v xml:space="preserve">      --55</v>
      </c>
    </row>
    <row r="62" spans="1:22">
      <c r="A62" s="59">
        <v>56</v>
      </c>
      <c r="B62" s="92"/>
      <c r="C62" s="92"/>
      <c r="D62" s="33"/>
      <c r="E62" s="33"/>
      <c r="F62" s="33"/>
      <c r="G62" s="33"/>
      <c r="H62" s="33"/>
      <c r="I62" s="93"/>
      <c r="J62" s="93"/>
      <c r="K62" s="19"/>
      <c r="M62" s="23" t="str">
        <f t="shared" si="0"/>
        <v xml:space="preserve">             --56</v>
      </c>
      <c r="V62" s="23" t="str">
        <f t="shared" si="1"/>
        <v xml:space="preserve">      --56</v>
      </c>
    </row>
    <row r="63" spans="1:22">
      <c r="A63" s="59">
        <v>57</v>
      </c>
      <c r="B63" s="92"/>
      <c r="C63" s="92"/>
      <c r="D63" s="33"/>
      <c r="E63" s="33"/>
      <c r="F63" s="33"/>
      <c r="G63" s="33"/>
      <c r="H63" s="33"/>
      <c r="I63" s="93"/>
      <c r="J63" s="93"/>
      <c r="K63" s="19"/>
      <c r="M63" s="23" t="str">
        <f t="shared" si="0"/>
        <v xml:space="preserve">             --57</v>
      </c>
      <c r="V63" s="23" t="str">
        <f t="shared" si="1"/>
        <v xml:space="preserve">      --57</v>
      </c>
    </row>
    <row r="64" spans="1:22">
      <c r="A64" s="59">
        <v>58</v>
      </c>
      <c r="B64" s="92"/>
      <c r="C64" s="92"/>
      <c r="D64" s="33"/>
      <c r="E64" s="33"/>
      <c r="F64" s="33"/>
      <c r="G64" s="33"/>
      <c r="H64" s="33"/>
      <c r="I64" s="93"/>
      <c r="J64" s="93"/>
      <c r="K64" s="19"/>
      <c r="M64" s="23" t="str">
        <f t="shared" si="0"/>
        <v xml:space="preserve">             --58</v>
      </c>
      <c r="V64" s="23" t="str">
        <f t="shared" si="1"/>
        <v xml:space="preserve">      --58</v>
      </c>
    </row>
    <row r="65" spans="1:22">
      <c r="A65" s="59">
        <v>59</v>
      </c>
      <c r="B65" s="92"/>
      <c r="C65" s="92"/>
      <c r="D65" s="33"/>
      <c r="E65" s="33"/>
      <c r="F65" s="33"/>
      <c r="G65" s="33"/>
      <c r="H65" s="33"/>
      <c r="I65" s="93"/>
      <c r="J65" s="93"/>
      <c r="K65" s="19"/>
      <c r="M65" s="23" t="str">
        <f t="shared" si="0"/>
        <v xml:space="preserve">             --59</v>
      </c>
      <c r="V65" s="23" t="str">
        <f t="shared" si="1"/>
        <v xml:space="preserve">      --59</v>
      </c>
    </row>
    <row r="66" spans="1:22">
      <c r="A66" s="59">
        <v>60</v>
      </c>
      <c r="B66" s="93"/>
      <c r="C66" s="92"/>
      <c r="D66" s="33"/>
      <c r="E66" s="33"/>
      <c r="F66" s="33"/>
      <c r="G66" s="33"/>
      <c r="H66" s="33"/>
      <c r="I66" s="93"/>
      <c r="J66" s="93"/>
      <c r="K66" s="19"/>
      <c r="M66" s="23" t="str">
        <f t="shared" si="0"/>
        <v xml:space="preserve">             --60</v>
      </c>
      <c r="V66" s="23" t="str">
        <f t="shared" si="1"/>
        <v xml:space="preserve">      --60</v>
      </c>
    </row>
    <row r="67" spans="1:22">
      <c r="A67" s="59">
        <v>61</v>
      </c>
      <c r="B67" s="93"/>
      <c r="C67" s="92"/>
      <c r="D67" s="33"/>
      <c r="E67" s="33"/>
      <c r="F67" s="33"/>
      <c r="G67" s="33"/>
      <c r="H67" s="33"/>
      <c r="I67" s="93"/>
      <c r="J67" s="93"/>
      <c r="K67" s="19"/>
      <c r="M67" s="23" t="str">
        <f t="shared" si="0"/>
        <v xml:space="preserve">             --61</v>
      </c>
      <c r="V67" s="23" t="str">
        <f t="shared" si="1"/>
        <v xml:space="preserve">      --61</v>
      </c>
    </row>
    <row r="68" spans="1:22">
      <c r="A68" s="59">
        <v>62</v>
      </c>
      <c r="B68" s="93"/>
      <c r="C68" s="92"/>
      <c r="D68" s="33"/>
      <c r="E68" s="33"/>
      <c r="F68" s="33"/>
      <c r="G68" s="33"/>
      <c r="H68" s="33"/>
      <c r="I68" s="93"/>
      <c r="J68" s="93"/>
      <c r="K68" s="19"/>
      <c r="M68" s="23" t="str">
        <f t="shared" si="0"/>
        <v xml:space="preserve">             --62</v>
      </c>
      <c r="V68" s="23" t="str">
        <f t="shared" si="1"/>
        <v xml:space="preserve">      --62</v>
      </c>
    </row>
    <row r="69" spans="1:22">
      <c r="A69" s="59">
        <v>63</v>
      </c>
      <c r="B69" s="93"/>
      <c r="C69" s="92"/>
      <c r="D69" s="33"/>
      <c r="E69" s="33"/>
      <c r="F69" s="33"/>
      <c r="G69" s="33"/>
      <c r="H69" s="33"/>
      <c r="I69" s="93"/>
      <c r="J69" s="93"/>
      <c r="K69" s="19"/>
      <c r="M69" s="23" t="str">
        <f t="shared" si="0"/>
        <v xml:space="preserve">             --63</v>
      </c>
      <c r="V69" s="23" t="str">
        <f t="shared" si="1"/>
        <v xml:space="preserve">      --63</v>
      </c>
    </row>
    <row r="70" spans="1:22">
      <c r="A70" s="59">
        <v>64</v>
      </c>
      <c r="B70" s="93"/>
      <c r="C70" s="92"/>
      <c r="D70" s="33"/>
      <c r="E70" s="33"/>
      <c r="F70" s="33"/>
      <c r="G70" s="33"/>
      <c r="H70" s="33"/>
      <c r="I70" s="93"/>
      <c r="J70" s="93"/>
      <c r="K70" s="19"/>
      <c r="M70" s="23" t="str">
        <f t="shared" si="0"/>
        <v xml:space="preserve">             --64</v>
      </c>
      <c r="V70" s="23" t="str">
        <f t="shared" si="1"/>
        <v xml:space="preserve">      --64</v>
      </c>
    </row>
    <row r="71" spans="1:22">
      <c r="A71" s="59">
        <v>65</v>
      </c>
      <c r="B71" s="93"/>
      <c r="C71" s="92"/>
      <c r="D71" s="33"/>
      <c r="E71" s="33"/>
      <c r="F71" s="33"/>
      <c r="G71" s="33"/>
      <c r="H71" s="33"/>
      <c r="I71" s="93"/>
      <c r="J71" s="93"/>
      <c r="K71" s="19"/>
      <c r="M71" s="23" t="str">
        <f t="shared" si="0"/>
        <v xml:space="preserve">             --65</v>
      </c>
      <c r="V71" s="23" t="str">
        <f t="shared" si="1"/>
        <v xml:space="preserve">      --65</v>
      </c>
    </row>
    <row r="72" spans="1:22">
      <c r="A72" s="59">
        <v>66</v>
      </c>
      <c r="B72" s="93"/>
      <c r="C72" s="92"/>
      <c r="D72" s="33"/>
      <c r="E72" s="33"/>
      <c r="F72" s="33"/>
      <c r="G72" s="33"/>
      <c r="H72" s="33"/>
      <c r="I72" s="93"/>
      <c r="J72" s="93"/>
      <c r="K72" s="19"/>
      <c r="M72" s="23" t="str">
        <f t="shared" ref="M72:M106" si="2">REPT(" ",13)&amp;IF(ISBLANK($B72),"--"&amp;$A72,
LEFT(SUBSTITUTE($B72," ","*")&amp;REPT(" ",30),30)&amp;
LEFT(IF(ISBLANK($D72),"",IF(OR(UPPER($D72)="DATE",UPPER($D72)="CLOB",UPPER($D72)="BLOB",UPPER($D72)="LONG",UPPER($D72)="TIMESTAMP"),UPPER($D72),IF(ISBLANK($E72),UPPER($D72),UPPER($D72)&amp;"("&amp;$E72&amp;")")))&amp;REPT(" ",15),15)&amp;
LEFT(IF(ISBLANK($F72),"","DEFAULT  "&amp;$F72)&amp;REPT(" ",19),19)&amp;
LEFT(IF(ISBLANK($J72),""," identity(" &amp; $J72 &amp; ") ")&amp;REPT(" ",17),17)&amp;
LEFT(IF(ISBLANK($H72),""," NOT NULL")&amp;REPT(" ",9),9)&amp;
IF(AND(ISBLANK(G$7),ISBLANK($B73)),"",","))</f>
        <v xml:space="preserve">             --66</v>
      </c>
      <c r="V72" s="23" t="str">
        <f t="shared" ref="V72:V106" si="3">REPT(" ",6)&amp;
IF(ISBLANK($B72),"--"&amp;UPPER($A72),LEFT(SUBSTITUTE(UPPER($B72)," ","*")&amp;REPT(" ",30),30)&amp;
LEFT("AS " &amp; LOWER(MID(SUBSTITUTE(PROPER($B72),"_",""),1,1))&amp;MID(SUBSTITUTE(PROPER($B72),"_",""),2,LEN(SUBSTITUTE(PROPER($B72),"_","")))&amp;REPT(" ",30),30)&amp;
LEFT(IF(ISBLANK($C72),"/**/","/* "&amp;$C72)&amp;" */"&amp;REPT(" ",30),30))</f>
        <v xml:space="preserve">      --66</v>
      </c>
    </row>
    <row r="73" spans="1:22">
      <c r="A73" s="59">
        <v>67</v>
      </c>
      <c r="B73" s="93"/>
      <c r="C73" s="92"/>
      <c r="D73" s="33"/>
      <c r="E73" s="33"/>
      <c r="F73" s="33"/>
      <c r="G73" s="33"/>
      <c r="H73" s="33"/>
      <c r="I73" s="93"/>
      <c r="J73" s="93"/>
      <c r="K73" s="19"/>
      <c r="M73" s="23" t="str">
        <f t="shared" si="2"/>
        <v xml:space="preserve">             --67</v>
      </c>
      <c r="V73" s="23" t="str">
        <f t="shared" si="3"/>
        <v xml:space="preserve">      --67</v>
      </c>
    </row>
    <row r="74" spans="1:22">
      <c r="A74" s="59">
        <v>68</v>
      </c>
      <c r="B74" s="93"/>
      <c r="C74" s="92"/>
      <c r="D74" s="33"/>
      <c r="E74" s="33"/>
      <c r="F74" s="33"/>
      <c r="G74" s="33"/>
      <c r="H74" s="33"/>
      <c r="I74" s="93"/>
      <c r="J74" s="93"/>
      <c r="K74" s="19"/>
      <c r="M74" s="23" t="str">
        <f t="shared" si="2"/>
        <v xml:space="preserve">             --68</v>
      </c>
      <c r="V74" s="23" t="str">
        <f t="shared" si="3"/>
        <v xml:space="preserve">      --68</v>
      </c>
    </row>
    <row r="75" spans="1:22">
      <c r="A75" s="59">
        <v>69</v>
      </c>
      <c r="B75" s="93"/>
      <c r="C75" s="92"/>
      <c r="D75" s="33"/>
      <c r="E75" s="33"/>
      <c r="F75" s="33"/>
      <c r="G75" s="33"/>
      <c r="H75" s="33"/>
      <c r="I75" s="93"/>
      <c r="J75" s="93"/>
      <c r="K75" s="19"/>
      <c r="M75" s="23" t="str">
        <f t="shared" si="2"/>
        <v xml:space="preserve">             --69</v>
      </c>
      <c r="V75" s="23" t="str">
        <f t="shared" si="3"/>
        <v xml:space="preserve">      --69</v>
      </c>
    </row>
    <row r="76" spans="1:22">
      <c r="A76" s="59">
        <v>70</v>
      </c>
      <c r="B76" s="93"/>
      <c r="C76" s="92"/>
      <c r="D76" s="33"/>
      <c r="E76" s="33"/>
      <c r="F76" s="33"/>
      <c r="G76" s="33"/>
      <c r="H76" s="33"/>
      <c r="I76" s="93"/>
      <c r="J76" s="93"/>
      <c r="K76" s="19"/>
      <c r="M76" s="23" t="str">
        <f t="shared" si="2"/>
        <v xml:space="preserve">             --70</v>
      </c>
      <c r="V76" s="23" t="str">
        <f t="shared" si="3"/>
        <v xml:space="preserve">      --70</v>
      </c>
    </row>
    <row r="77" spans="1:22">
      <c r="A77" s="59">
        <v>71</v>
      </c>
      <c r="B77" s="93"/>
      <c r="C77" s="92"/>
      <c r="D77" s="33"/>
      <c r="E77" s="33"/>
      <c r="F77" s="36"/>
      <c r="G77" s="33"/>
      <c r="H77" s="33"/>
      <c r="I77" s="93"/>
      <c r="J77" s="93"/>
      <c r="K77" s="19"/>
      <c r="M77" s="23" t="str">
        <f t="shared" si="2"/>
        <v xml:space="preserve">             --71</v>
      </c>
      <c r="V77" s="23" t="str">
        <f t="shared" si="3"/>
        <v xml:space="preserve">      --71</v>
      </c>
    </row>
    <row r="78" spans="1:22">
      <c r="A78" s="59">
        <v>72</v>
      </c>
      <c r="B78" s="93"/>
      <c r="C78" s="92"/>
      <c r="D78" s="33"/>
      <c r="E78" s="33"/>
      <c r="F78" s="33"/>
      <c r="G78" s="33"/>
      <c r="H78" s="33"/>
      <c r="I78" s="93"/>
      <c r="J78" s="93"/>
      <c r="K78" s="19"/>
      <c r="M78" s="23" t="str">
        <f t="shared" si="2"/>
        <v xml:space="preserve">             --72</v>
      </c>
      <c r="V78" s="23" t="str">
        <f t="shared" si="3"/>
        <v xml:space="preserve">      --72</v>
      </c>
    </row>
    <row r="79" spans="1:22">
      <c r="A79" s="59">
        <v>73</v>
      </c>
      <c r="B79" s="93"/>
      <c r="C79" s="92"/>
      <c r="D79" s="33"/>
      <c r="E79" s="33"/>
      <c r="F79" s="36"/>
      <c r="G79" s="33"/>
      <c r="H79" s="33"/>
      <c r="I79" s="93"/>
      <c r="J79" s="93"/>
      <c r="K79" s="19"/>
      <c r="M79" s="23" t="str">
        <f t="shared" si="2"/>
        <v xml:space="preserve">             --73</v>
      </c>
      <c r="V79" s="23" t="str">
        <f t="shared" si="3"/>
        <v xml:space="preserve">      --73</v>
      </c>
    </row>
    <row r="80" spans="1:22">
      <c r="A80" s="59">
        <v>74</v>
      </c>
      <c r="B80" s="93"/>
      <c r="C80" s="92"/>
      <c r="D80" s="33"/>
      <c r="E80" s="33"/>
      <c r="F80" s="33"/>
      <c r="G80" s="33"/>
      <c r="H80" s="33"/>
      <c r="I80" s="93"/>
      <c r="J80" s="93"/>
      <c r="K80" s="19"/>
      <c r="M80" s="23" t="str">
        <f t="shared" si="2"/>
        <v xml:space="preserve">             --74</v>
      </c>
      <c r="V80" s="23" t="str">
        <f t="shared" si="3"/>
        <v xml:space="preserve">      --74</v>
      </c>
    </row>
    <row r="81" spans="1:22">
      <c r="A81" s="59">
        <v>75</v>
      </c>
      <c r="B81" s="93"/>
      <c r="C81" s="92"/>
      <c r="D81" s="33"/>
      <c r="E81" s="33"/>
      <c r="F81" s="33"/>
      <c r="G81" s="33"/>
      <c r="H81" s="33"/>
      <c r="I81" s="93"/>
      <c r="J81" s="93"/>
      <c r="K81" s="19"/>
      <c r="M81" s="23" t="str">
        <f t="shared" si="2"/>
        <v xml:space="preserve">             --75</v>
      </c>
      <c r="V81" s="23" t="str">
        <f t="shared" si="3"/>
        <v xml:space="preserve">      --75</v>
      </c>
    </row>
    <row r="82" spans="1:22">
      <c r="A82" s="59">
        <v>76</v>
      </c>
      <c r="B82" s="93"/>
      <c r="C82" s="92"/>
      <c r="D82" s="33"/>
      <c r="E82" s="33"/>
      <c r="F82" s="33"/>
      <c r="G82" s="33"/>
      <c r="H82" s="33"/>
      <c r="I82" s="93"/>
      <c r="J82" s="93"/>
      <c r="K82" s="19"/>
      <c r="M82" s="23" t="str">
        <f t="shared" si="2"/>
        <v xml:space="preserve">             --76</v>
      </c>
      <c r="V82" s="23" t="str">
        <f t="shared" si="3"/>
        <v xml:space="preserve">      --76</v>
      </c>
    </row>
    <row r="83" spans="1:22">
      <c r="A83" s="59">
        <v>77</v>
      </c>
      <c r="B83" s="93"/>
      <c r="C83" s="92"/>
      <c r="D83" s="33"/>
      <c r="E83" s="33"/>
      <c r="F83" s="33"/>
      <c r="G83" s="33"/>
      <c r="H83" s="33"/>
      <c r="I83" s="93"/>
      <c r="J83" s="93"/>
      <c r="K83" s="19"/>
      <c r="M83" s="23" t="str">
        <f t="shared" si="2"/>
        <v xml:space="preserve">             --77</v>
      </c>
      <c r="V83" s="23" t="str">
        <f t="shared" si="3"/>
        <v xml:space="preserve">      --77</v>
      </c>
    </row>
    <row r="84" spans="1:22">
      <c r="A84" s="59">
        <v>78</v>
      </c>
      <c r="B84" s="93"/>
      <c r="C84" s="92"/>
      <c r="D84" s="33"/>
      <c r="E84" s="33"/>
      <c r="F84" s="33"/>
      <c r="G84" s="33"/>
      <c r="H84" s="33"/>
      <c r="I84" s="93"/>
      <c r="J84" s="93"/>
      <c r="K84" s="19"/>
      <c r="M84" s="23" t="str">
        <f t="shared" si="2"/>
        <v xml:space="preserve">             --78</v>
      </c>
      <c r="V84" s="23" t="str">
        <f t="shared" si="3"/>
        <v xml:space="preserve">      --78</v>
      </c>
    </row>
    <row r="85" spans="1:22">
      <c r="A85" s="59">
        <v>79</v>
      </c>
      <c r="B85" s="93"/>
      <c r="C85" s="92"/>
      <c r="D85" s="33"/>
      <c r="E85" s="33"/>
      <c r="F85" s="33"/>
      <c r="G85" s="33"/>
      <c r="H85" s="33"/>
      <c r="I85" s="93"/>
      <c r="J85" s="93"/>
      <c r="K85" s="19"/>
      <c r="M85" s="23" t="str">
        <f t="shared" si="2"/>
        <v xml:space="preserve">             --79</v>
      </c>
      <c r="V85" s="23" t="str">
        <f t="shared" si="3"/>
        <v xml:space="preserve">      --79</v>
      </c>
    </row>
    <row r="86" spans="1:22">
      <c r="A86" s="59">
        <v>80</v>
      </c>
      <c r="B86" s="93"/>
      <c r="C86" s="92"/>
      <c r="D86" s="33"/>
      <c r="E86" s="33"/>
      <c r="F86" s="33"/>
      <c r="G86" s="33"/>
      <c r="H86" s="33"/>
      <c r="I86" s="93"/>
      <c r="J86" s="93"/>
      <c r="K86" s="19"/>
      <c r="M86" s="23" t="str">
        <f t="shared" si="2"/>
        <v xml:space="preserve">             --80</v>
      </c>
      <c r="V86" s="23" t="str">
        <f t="shared" si="3"/>
        <v xml:space="preserve">      --80</v>
      </c>
    </row>
    <row r="87" spans="1:22">
      <c r="A87" s="59">
        <v>81</v>
      </c>
      <c r="B87" s="93"/>
      <c r="C87" s="92"/>
      <c r="D87" s="33"/>
      <c r="E87" s="33"/>
      <c r="F87" s="33"/>
      <c r="G87" s="33"/>
      <c r="H87" s="33"/>
      <c r="I87" s="93"/>
      <c r="J87" s="93"/>
      <c r="K87" s="19"/>
      <c r="M87" s="23" t="str">
        <f t="shared" si="2"/>
        <v xml:space="preserve">             --81</v>
      </c>
      <c r="V87" s="23" t="str">
        <f t="shared" si="3"/>
        <v xml:space="preserve">      --81</v>
      </c>
    </row>
    <row r="88" spans="1:22">
      <c r="A88" s="59">
        <v>82</v>
      </c>
      <c r="B88" s="93"/>
      <c r="C88" s="92"/>
      <c r="D88" s="33"/>
      <c r="E88" s="33"/>
      <c r="F88" s="33"/>
      <c r="G88" s="33"/>
      <c r="H88" s="33"/>
      <c r="I88" s="93"/>
      <c r="J88" s="93"/>
      <c r="K88" s="19"/>
      <c r="M88" s="23" t="str">
        <f t="shared" si="2"/>
        <v xml:space="preserve">             --82</v>
      </c>
      <c r="V88" s="23" t="str">
        <f t="shared" si="3"/>
        <v xml:space="preserve">      --82</v>
      </c>
    </row>
    <row r="89" spans="1:22">
      <c r="A89" s="59">
        <v>83</v>
      </c>
      <c r="B89" s="93"/>
      <c r="C89" s="92"/>
      <c r="D89" s="33"/>
      <c r="E89" s="33"/>
      <c r="F89" s="33"/>
      <c r="G89" s="33"/>
      <c r="H89" s="33"/>
      <c r="I89" s="93"/>
      <c r="J89" s="93"/>
      <c r="K89" s="19"/>
      <c r="M89" s="23" t="str">
        <f t="shared" si="2"/>
        <v xml:space="preserve">             --83</v>
      </c>
      <c r="V89" s="23" t="str">
        <f t="shared" si="3"/>
        <v xml:space="preserve">      --83</v>
      </c>
    </row>
    <row r="90" spans="1:22">
      <c r="A90" s="59">
        <v>84</v>
      </c>
      <c r="B90" s="93"/>
      <c r="C90" s="92"/>
      <c r="D90" s="33"/>
      <c r="E90" s="33"/>
      <c r="F90" s="33"/>
      <c r="G90" s="33"/>
      <c r="H90" s="33"/>
      <c r="I90" s="93"/>
      <c r="J90" s="93"/>
      <c r="K90" s="19"/>
      <c r="M90" s="23" t="str">
        <f t="shared" si="2"/>
        <v xml:space="preserve">             --84</v>
      </c>
      <c r="V90" s="23" t="str">
        <f t="shared" si="3"/>
        <v xml:space="preserve">      --84</v>
      </c>
    </row>
    <row r="91" spans="1:22">
      <c r="A91" s="59">
        <v>85</v>
      </c>
      <c r="B91" s="93"/>
      <c r="C91" s="92"/>
      <c r="D91" s="33"/>
      <c r="E91" s="33"/>
      <c r="F91" s="33"/>
      <c r="G91" s="33"/>
      <c r="H91" s="33"/>
      <c r="I91" s="93"/>
      <c r="J91" s="93"/>
      <c r="K91" s="19"/>
      <c r="M91" s="23" t="str">
        <f t="shared" si="2"/>
        <v xml:space="preserve">             --85</v>
      </c>
      <c r="V91" s="23" t="str">
        <f t="shared" si="3"/>
        <v xml:space="preserve">      --85</v>
      </c>
    </row>
    <row r="92" spans="1:22">
      <c r="A92" s="59">
        <v>86</v>
      </c>
      <c r="B92" s="93"/>
      <c r="C92" s="92"/>
      <c r="D92" s="33"/>
      <c r="E92" s="33"/>
      <c r="F92" s="33"/>
      <c r="G92" s="33"/>
      <c r="H92" s="33"/>
      <c r="I92" s="93"/>
      <c r="J92" s="93"/>
      <c r="K92" s="19"/>
      <c r="M92" s="23" t="str">
        <f t="shared" si="2"/>
        <v xml:space="preserve">             --86</v>
      </c>
      <c r="V92" s="23" t="str">
        <f t="shared" si="3"/>
        <v xml:space="preserve">      --86</v>
      </c>
    </row>
    <row r="93" spans="1:22">
      <c r="A93" s="59">
        <v>87</v>
      </c>
      <c r="B93" s="93"/>
      <c r="C93" s="92"/>
      <c r="D93" s="33"/>
      <c r="E93" s="33"/>
      <c r="F93" s="33"/>
      <c r="G93" s="33"/>
      <c r="H93" s="33"/>
      <c r="I93" s="93"/>
      <c r="J93" s="93"/>
      <c r="K93" s="19"/>
      <c r="M93" s="23" t="str">
        <f t="shared" si="2"/>
        <v xml:space="preserve">             --87</v>
      </c>
      <c r="V93" s="23" t="str">
        <f t="shared" si="3"/>
        <v xml:space="preserve">      --87</v>
      </c>
    </row>
    <row r="94" spans="1:22">
      <c r="A94" s="59">
        <v>88</v>
      </c>
      <c r="B94" s="93"/>
      <c r="C94" s="92"/>
      <c r="D94" s="33"/>
      <c r="E94" s="33"/>
      <c r="F94" s="33"/>
      <c r="G94" s="33"/>
      <c r="H94" s="33"/>
      <c r="I94" s="93"/>
      <c r="J94" s="93"/>
      <c r="K94" s="19"/>
      <c r="M94" s="23" t="str">
        <f t="shared" si="2"/>
        <v xml:space="preserve">             --88</v>
      </c>
      <c r="V94" s="23" t="str">
        <f t="shared" si="3"/>
        <v xml:space="preserve">      --88</v>
      </c>
    </row>
    <row r="95" spans="1:22">
      <c r="A95" s="59">
        <v>89</v>
      </c>
      <c r="B95" s="93"/>
      <c r="C95" s="92"/>
      <c r="D95" s="33"/>
      <c r="E95" s="33"/>
      <c r="F95" s="33"/>
      <c r="G95" s="33"/>
      <c r="H95" s="33"/>
      <c r="I95" s="93"/>
      <c r="J95" s="93"/>
      <c r="K95" s="19"/>
      <c r="M95" s="23" t="str">
        <f t="shared" si="2"/>
        <v xml:space="preserve">             --89</v>
      </c>
      <c r="V95" s="23" t="str">
        <f t="shared" si="3"/>
        <v xml:space="preserve">      --89</v>
      </c>
    </row>
    <row r="96" spans="1:22">
      <c r="A96" s="59">
        <v>90</v>
      </c>
      <c r="B96" s="93"/>
      <c r="C96" s="92"/>
      <c r="D96" s="33"/>
      <c r="E96" s="33"/>
      <c r="F96" s="33"/>
      <c r="G96" s="33"/>
      <c r="H96" s="33"/>
      <c r="I96" s="93"/>
      <c r="J96" s="93"/>
      <c r="K96" s="19"/>
      <c r="M96" s="23" t="str">
        <f t="shared" si="2"/>
        <v xml:space="preserve">             --90</v>
      </c>
      <c r="V96" s="23" t="str">
        <f t="shared" si="3"/>
        <v xml:space="preserve">      --90</v>
      </c>
    </row>
    <row r="97" spans="1:22">
      <c r="A97" s="59">
        <v>91</v>
      </c>
      <c r="B97" s="93"/>
      <c r="C97" s="92"/>
      <c r="D97" s="33"/>
      <c r="E97" s="33"/>
      <c r="F97" s="36"/>
      <c r="G97" s="33"/>
      <c r="H97" s="33"/>
      <c r="I97" s="93"/>
      <c r="J97" s="93"/>
      <c r="K97" s="19"/>
      <c r="M97" s="23" t="str">
        <f t="shared" si="2"/>
        <v xml:space="preserve">             --91</v>
      </c>
      <c r="V97" s="23" t="str">
        <f t="shared" si="3"/>
        <v xml:space="preserve">      --91</v>
      </c>
    </row>
    <row r="98" spans="1:22">
      <c r="A98" s="59">
        <v>92</v>
      </c>
      <c r="B98" s="2"/>
      <c r="C98" s="2"/>
      <c r="D98" s="33"/>
      <c r="E98" s="33"/>
      <c r="F98" s="33"/>
      <c r="G98" s="33"/>
      <c r="H98" s="33"/>
      <c r="I98" s="93"/>
      <c r="J98" s="93"/>
      <c r="K98" s="19"/>
      <c r="M98" s="23" t="str">
        <f t="shared" si="2"/>
        <v xml:space="preserve">             --92</v>
      </c>
      <c r="V98" s="23" t="str">
        <f t="shared" si="3"/>
        <v xml:space="preserve">      --92</v>
      </c>
    </row>
    <row r="99" spans="1:22">
      <c r="A99" s="59">
        <v>93</v>
      </c>
      <c r="B99" s="2"/>
      <c r="C99" s="2"/>
      <c r="D99" s="33"/>
      <c r="E99" s="33"/>
      <c r="F99" s="33"/>
      <c r="G99" s="33"/>
      <c r="H99" s="33"/>
      <c r="I99" s="33"/>
      <c r="J99" s="33"/>
      <c r="K99" s="19"/>
      <c r="M99" s="23" t="str">
        <f t="shared" si="2"/>
        <v xml:space="preserve">             --93</v>
      </c>
      <c r="V99" s="23" t="str">
        <f t="shared" si="3"/>
        <v xml:space="preserve">      --93</v>
      </c>
    </row>
    <row r="100" spans="1:22">
      <c r="A100" s="59">
        <v>94</v>
      </c>
      <c r="B100" s="93"/>
      <c r="C100" s="92"/>
      <c r="D100" s="33"/>
      <c r="E100" s="33"/>
      <c r="F100" s="33"/>
      <c r="G100" s="33"/>
      <c r="H100" s="33"/>
      <c r="I100" s="33"/>
      <c r="J100" s="33"/>
      <c r="K100" s="19"/>
      <c r="M100" s="23" t="str">
        <f t="shared" si="2"/>
        <v xml:space="preserve">             --94</v>
      </c>
      <c r="V100" s="23" t="str">
        <f t="shared" si="3"/>
        <v xml:space="preserve">      --94</v>
      </c>
    </row>
    <row r="101" spans="1:22">
      <c r="A101" s="59">
        <v>95</v>
      </c>
      <c r="B101" s="2"/>
      <c r="C101" s="2"/>
      <c r="D101" s="33"/>
      <c r="E101" s="33"/>
      <c r="F101" s="33"/>
      <c r="G101" s="33"/>
      <c r="H101" s="33"/>
      <c r="I101" s="93"/>
      <c r="J101" s="93"/>
      <c r="K101" s="19"/>
      <c r="M101" s="23" t="str">
        <f t="shared" si="2"/>
        <v xml:space="preserve">             --95</v>
      </c>
      <c r="V101" s="23" t="str">
        <f t="shared" si="3"/>
        <v xml:space="preserve">      --95</v>
      </c>
    </row>
    <row r="102" spans="1:22">
      <c r="A102" s="59">
        <v>96</v>
      </c>
      <c r="B102" s="2"/>
      <c r="C102" s="97"/>
      <c r="D102" s="38"/>
      <c r="E102" s="39"/>
      <c r="F102" s="40"/>
      <c r="G102" s="44"/>
      <c r="H102" s="42"/>
      <c r="I102" s="41"/>
      <c r="J102" s="41"/>
      <c r="K102" s="43"/>
      <c r="M102" s="23" t="str">
        <f t="shared" si="2"/>
        <v xml:space="preserve">             --96</v>
      </c>
      <c r="V102" s="23" t="str">
        <f t="shared" si="3"/>
        <v xml:space="preserve">      --96</v>
      </c>
    </row>
    <row r="103" spans="1:22">
      <c r="A103" s="59">
        <v>97</v>
      </c>
      <c r="B103" s="2"/>
      <c r="C103" s="2"/>
      <c r="D103" s="33"/>
      <c r="E103" s="46"/>
      <c r="F103" s="33"/>
      <c r="G103" s="33"/>
      <c r="H103" s="33"/>
      <c r="I103" s="33"/>
      <c r="J103" s="33"/>
      <c r="K103" s="19"/>
      <c r="M103" s="23" t="str">
        <f t="shared" si="2"/>
        <v xml:space="preserve">             --97</v>
      </c>
      <c r="V103" s="23" t="str">
        <f t="shared" si="3"/>
        <v xml:space="preserve">      --97</v>
      </c>
    </row>
    <row r="104" spans="1:22">
      <c r="A104" s="59">
        <v>98</v>
      </c>
      <c r="B104" s="2"/>
      <c r="C104" s="2"/>
      <c r="D104" s="33"/>
      <c r="E104" s="46"/>
      <c r="F104" s="33"/>
      <c r="G104" s="33"/>
      <c r="H104" s="33"/>
      <c r="I104" s="33"/>
      <c r="J104" s="33"/>
      <c r="K104" s="19"/>
      <c r="M104" s="23" t="str">
        <f t="shared" si="2"/>
        <v xml:space="preserve">             --98</v>
      </c>
      <c r="V104" s="23" t="str">
        <f t="shared" si="3"/>
        <v xml:space="preserve">      --98</v>
      </c>
    </row>
    <row r="105" spans="1:22">
      <c r="A105" s="59">
        <v>99</v>
      </c>
      <c r="B105" s="2"/>
      <c r="C105" s="2"/>
      <c r="D105" s="33"/>
      <c r="E105" s="46"/>
      <c r="F105" s="36"/>
      <c r="G105" s="33"/>
      <c r="H105" s="33"/>
      <c r="I105" s="93"/>
      <c r="J105" s="93"/>
      <c r="K105" s="19"/>
      <c r="M105" s="23" t="str">
        <f t="shared" si="2"/>
        <v xml:space="preserve">             --99</v>
      </c>
      <c r="V105" s="23" t="str">
        <f t="shared" si="3"/>
        <v xml:space="preserve">      --99</v>
      </c>
    </row>
    <row r="106" spans="1:22">
      <c r="A106" s="59">
        <v>100</v>
      </c>
      <c r="B106" s="97"/>
      <c r="C106" s="91"/>
      <c r="D106" s="33"/>
      <c r="E106" s="46"/>
      <c r="F106" s="33"/>
      <c r="G106" s="33"/>
      <c r="H106" s="33"/>
      <c r="I106" s="93"/>
      <c r="J106" s="93"/>
      <c r="K106" s="19"/>
      <c r="M106" s="23" t="str">
        <f t="shared" si="2"/>
        <v xml:space="preserve">             --100</v>
      </c>
      <c r="V106" s="23" t="str">
        <f t="shared" si="3"/>
        <v xml:space="preserve">      --100</v>
      </c>
    </row>
    <row r="107" spans="1:22">
      <c r="A107" s="30"/>
      <c r="B107" s="27"/>
      <c r="C107" s="27"/>
      <c r="D107" s="30"/>
      <c r="E107" s="30"/>
      <c r="F107" s="27"/>
      <c r="G107" s="27"/>
      <c r="H107" s="27"/>
      <c r="I107" s="27"/>
      <c r="J107" s="27"/>
      <c r="K107" s="27"/>
      <c r="M107" s="23"/>
    </row>
    <row r="108" spans="1:22">
      <c r="B108" s="20" t="s">
        <v>2</v>
      </c>
      <c r="M108" s="24" t="str">
        <f>REPT(" ",13)&amp;IF(ISBLANK($G7),"--","")&amp;"CONSTRAINT   " &amp; "idx_" &amp; $C$3 &amp; "_pk  PRIMARY KEY CLUSTERED ("</f>
        <v xml:space="preserve">             --CONSTRAINT   idx_Showcase_pk  PRIMARY KEY CLUSTERED (</v>
      </c>
    </row>
    <row r="109" spans="1:22">
      <c r="B109" s="59" t="s">
        <v>5</v>
      </c>
      <c r="C109" s="59" t="s">
        <v>3</v>
      </c>
      <c r="D109" s="59" t="s">
        <v>4</v>
      </c>
      <c r="M109" s="18" t="str">
        <f>REPT(" ",25)&amp;IF($G7="","--"&amp;$A7,"")&amp;IF($G7&lt;&gt;"",IF(LEFT(TRIM($M108),10)="CONSTRAINT"," ",",") &amp; TRIM($B7),"")</f>
        <v xml:space="preserve">                         --1</v>
      </c>
    </row>
    <row r="110" spans="1:22">
      <c r="B110" s="21"/>
      <c r="C110" s="34"/>
      <c r="D110" s="59"/>
      <c r="M110" s="24" t="str">
        <f t="shared" ref="M110:M117" si="4">REPT(" ",25)&amp;IF($G8="","--"&amp;$A8,"")&amp;IF($G8&lt;&gt;"",IF(LEFT(TRIM($M109),10)="CONSTRAINT"," ",",") &amp; TRIM($B8),"")</f>
        <v xml:space="preserve">                         --2</v>
      </c>
    </row>
    <row r="111" spans="1:22">
      <c r="B111" s="21"/>
      <c r="C111" s="97"/>
      <c r="D111" s="21"/>
      <c r="G111" s="29"/>
      <c r="M111" s="24" t="str">
        <f t="shared" si="4"/>
        <v xml:space="preserve">                         --3</v>
      </c>
    </row>
    <row r="112" spans="1:22">
      <c r="B112" s="31"/>
      <c r="C112" s="97"/>
      <c r="D112" s="21"/>
      <c r="G112" s="29"/>
      <c r="M112" s="24" t="str">
        <f t="shared" si="4"/>
        <v xml:space="preserve">                         --4</v>
      </c>
    </row>
    <row r="113" spans="2:17">
      <c r="B113" s="31"/>
      <c r="C113" s="97"/>
      <c r="D113" s="21"/>
      <c r="G113" s="29"/>
      <c r="M113" s="24" t="str">
        <f t="shared" si="4"/>
        <v xml:space="preserve">                         --5</v>
      </c>
    </row>
    <row r="114" spans="2:17">
      <c r="B114" s="31"/>
      <c r="C114" s="97"/>
      <c r="D114" s="21"/>
      <c r="M114" s="24" t="str">
        <f t="shared" si="4"/>
        <v xml:space="preserve">                         --6</v>
      </c>
    </row>
    <row r="115" spans="2:17">
      <c r="B115" s="21"/>
      <c r="C115" s="97"/>
      <c r="D115" s="59"/>
      <c r="M115" s="24" t="str">
        <f t="shared" si="4"/>
        <v xml:space="preserve">                         --7</v>
      </c>
    </row>
    <row r="116" spans="2:17">
      <c r="B116" s="21"/>
      <c r="C116" s="97"/>
      <c r="D116" s="59"/>
      <c r="M116" s="24" t="str">
        <f t="shared" si="4"/>
        <v xml:space="preserve">                         --8</v>
      </c>
    </row>
    <row r="117" spans="2:17">
      <c r="B117" s="21"/>
      <c r="C117" s="97"/>
      <c r="D117" s="59"/>
      <c r="M117" s="24" t="str">
        <f t="shared" si="4"/>
        <v xml:space="preserve">                         --9</v>
      </c>
    </row>
    <row r="118" spans="2:17">
      <c r="M118" s="24" t="str">
        <f>REPT(" ",25)&amp;IF($G16="","--"&amp;$A16,"")&amp;IF($G16&lt;&gt;"",IF(LEFT(TRIM($M117),10)="CONSTRAINT"," ",",") &amp; TRIM($B16),"")</f>
        <v xml:space="preserve">                         --10</v>
      </c>
    </row>
    <row r="119" spans="2:17">
      <c r="B119" s="20" t="s">
        <v>0</v>
      </c>
      <c r="M119" s="61" t="s">
        <v>272</v>
      </c>
    </row>
    <row r="120" spans="2:17">
      <c r="M120" s="26"/>
    </row>
    <row r="121" spans="2:17">
      <c r="M121" s="18" t="str">
        <f>IF(OR(TRIM(UPPER($I$5))="",TRIM(UPPER($I$5))="DEFAULT"),"","ALTER  TABLE  "&amp;$C$3&amp;"  STORAGE  (BUFFER_POOL  "&amp;UPPER($I$5)&amp;");  --KEEP | RECYCLE | DEFAULT")</f>
        <v/>
      </c>
    </row>
    <row r="122" spans="2:17">
      <c r="M122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'진열장',                                                        'schema', 'dbo', 'table', 'Showcase';                -- 테이블</v>
      </c>
      <c r="Q122" s="25"/>
    </row>
    <row r="123" spans="2:17">
      <c r="M123" s="24" t="str">
        <f>IF(TRIM($B7)="","-- "&amp;$A7&amp;",",IF(LEFT($B7,2)="--","-- "&amp;$A7&amp;",","")&amp;"EXEC sp_addextendedproperty 'MS_Description', '"&amp;TRIM($C7)&amp;IF($K7="","","("&amp;$K7&amp;")")&amp;"', "&amp;REPT(" ",60-LENB(TRIM($C7)&amp;IF($K7="","","("&amp;$K7&amp;")")))&amp;" 'schema', 'dbo', N'table', '"&amp;TRIM($C$3)&amp;"', 'column', '"&amp;TRIM($B7)&amp;"';"&amp;REPT(" ",20-LENB(TRIM($B7)))&amp;"-- 컬럼")</f>
        <v>EXEC sp_addextendedproperty 'MS_Description', '상점번호',                                                      'schema', 'dbo', N'table', 'Showcase', 'column', 'storeNumber';         -- 컬럼</v>
      </c>
      <c r="Q123" s="25"/>
    </row>
    <row r="124" spans="2:17">
      <c r="M124" s="24" t="str">
        <f t="shared" ref="M124:M187" si="5">IF(TRIM($B8)="","-- "&amp;$A8&amp;",",IF(LEFT($B8,2)="--","-- "&amp;$A8&amp;",","")&amp;"EXEC sp_addextendedproperty 'MS_Description', '"&amp;TRIM($C8)&amp;IF($K8="","","("&amp;$K8&amp;")")&amp;"', "&amp;REPT(" ",60-LENB(TRIM($C8)&amp;IF($K8="","","("&amp;$K8&amp;")")))&amp;" 'schema', 'dbo', N'table', '"&amp;TRIM($C$3)&amp;"', 'column', '"&amp;TRIM($B8)&amp;"';"&amp;REPT(" ",20-LENB(TRIM($B8)))&amp;"-- 컬럼")</f>
        <v>EXEC sp_addextendedproperty 'MS_Description', '상점명(AES256)',                                                'schema', 'dbo', N'table', 'Showcase', 'column', 'storeName';           -- 컬럼</v>
      </c>
      <c r="Q124" s="25"/>
    </row>
    <row r="125" spans="2:17">
      <c r="M125" s="24" t="str">
        <f t="shared" si="5"/>
        <v>EXEC sp_addextendedproperty 'MS_Description', '판매자명(AES256)',                                              'schema', 'dbo', N'table', 'Showcase', 'column', 'sellerName';          -- 컬럼</v>
      </c>
      <c r="Q125" s="25"/>
    </row>
    <row r="126" spans="2:17">
      <c r="M126" s="24" t="str">
        <f t="shared" si="5"/>
        <v>EXEC sp_addextendedproperty 'MS_Description', '별명(AES256)',                                                  'schema', 'dbo', N'table', 'Showcase', 'column', 'nickName';            -- 컬럼</v>
      </c>
      <c r="Q126" s="25"/>
    </row>
    <row r="127" spans="2:17">
      <c r="M127" s="24" t="str">
        <f t="shared" si="5"/>
        <v>EXEC sp_addextendedproperty 'MS_Description', '전화번호(AES256)',                                              'schema', 'dbo', N'table', 'Showcase', 'column', 'phoneNumber';         -- 컬럼</v>
      </c>
      <c r="Q127" s="25"/>
    </row>
    <row r="128" spans="2:17">
      <c r="M128" s="24" t="str">
        <f t="shared" si="5"/>
        <v>EXEC sp_addextendedproperty 'MS_Description', '이메일주소(AES256)',                                            'schema', 'dbo', N'table', 'Showcase', 'column', 'emailAddress';        -- 컬럼</v>
      </c>
      <c r="Q128" s="25"/>
    </row>
    <row r="129" spans="13:17">
      <c r="M129" s="24" t="str">
        <f t="shared" si="5"/>
        <v>EXEC sp_addextendedproperty 'MS_Description', '우편번호(지번)(AES256)',                                        'schema', 'dbo', N'table', 'Showcase', 'column', 'zipCode';             -- 컬럼</v>
      </c>
      <c r="Q129" s="25"/>
    </row>
    <row r="130" spans="13:17">
      <c r="M130" s="24" t="str">
        <f t="shared" si="5"/>
        <v>EXEC sp_addextendedproperty 'MS_Description', '우편번호(도로명)(AES256)',                                      'schema', 'dbo', N'table', 'Showcase', 'column', 'postalCode';          -- 컬럼</v>
      </c>
      <c r="Q130" s="25"/>
    </row>
    <row r="131" spans="13:17">
      <c r="M131" s="24" t="str">
        <f t="shared" si="5"/>
        <v>EXEC sp_addextendedproperty 'MS_Description', '기본주소(AES256)',                                              'schema', 'dbo', N'table', 'Showcase', 'column', 'baseAddress';         -- 컬럼</v>
      </c>
      <c r="Q131" s="25"/>
    </row>
    <row r="132" spans="13:17">
      <c r="M132" s="24" t="str">
        <f t="shared" si="5"/>
        <v>EXEC sp_addextendedproperty 'MS_Description', '판매가능지역(AES256, 읍면동)',                                  'schema', 'dbo', N'table', 'Showcase', 'column', 'availableArea';       -- 컬럼</v>
      </c>
      <c r="Q132" s="25"/>
    </row>
    <row r="133" spans="13:17">
      <c r="M133" s="24" t="str">
        <f t="shared" si="5"/>
        <v>EXEC sp_addextendedproperty 'MS_Description', '진열아이디(Y,N)',                                               'schema', 'dbo', N'table', 'Showcase', 'column', 'useAt';               -- 컬럼</v>
      </c>
      <c r="Q133" s="25"/>
    </row>
    <row r="134" spans="13:17">
      <c r="M134" s="24" t="str">
        <f t="shared" si="5"/>
        <v>EXEC sp_addextendedproperty 'MS_Description', '삭제여부(Y,N)',                                                 'schema', 'dbo', N'table', 'Showcase', 'column', 'delAt';               -- 컬럼</v>
      </c>
      <c r="Q134" s="25"/>
    </row>
    <row r="135" spans="13:17">
      <c r="M135" s="24" t="str">
        <f t="shared" si="5"/>
        <v>EXEC sp_addextendedproperty 'MS_Description', '생성자',                                                        'schema', 'dbo', N'table', 'Showcase', 'column', 'createId';            -- 컬럼</v>
      </c>
      <c r="Q135" s="25"/>
    </row>
    <row r="136" spans="13:17">
      <c r="M136" s="24" t="str">
        <f t="shared" si="5"/>
        <v>EXEC sp_addextendedproperty 'MS_Description', '생성 일시',                                                     'schema', 'dbo', N'table', 'Showcase', 'column', 'createDate';          -- 컬럼</v>
      </c>
      <c r="Q136" s="25"/>
    </row>
    <row r="137" spans="13:17">
      <c r="M137" s="24" t="str">
        <f t="shared" si="5"/>
        <v>EXEC sp_addextendedproperty 'MS_Description', '수정자',                                                        'schema', 'dbo', N'table', 'Showcase', 'column', 'updateId';            -- 컬럼</v>
      </c>
      <c r="Q137" s="25"/>
    </row>
    <row r="138" spans="13:17">
      <c r="M138" s="24" t="str">
        <f t="shared" si="5"/>
        <v>EXEC sp_addextendedproperty 'MS_Description', '갱신 일시',                                                     'schema', 'dbo', N'table', 'Showcase', 'column', 'updateDate';          -- 컬럼</v>
      </c>
      <c r="Q138" s="25"/>
    </row>
    <row r="139" spans="13:17">
      <c r="M139" s="24" t="str">
        <f t="shared" si="5"/>
        <v>-- 17,</v>
      </c>
      <c r="Q139" s="25"/>
    </row>
    <row r="140" spans="13:17">
      <c r="M140" s="24" t="str">
        <f t="shared" si="5"/>
        <v>-- 18,</v>
      </c>
      <c r="Q140" s="25"/>
    </row>
    <row r="141" spans="13:17">
      <c r="M141" s="24" t="str">
        <f t="shared" si="5"/>
        <v>-- 19,</v>
      </c>
      <c r="Q141" s="25"/>
    </row>
    <row r="142" spans="13:17">
      <c r="M142" s="24" t="str">
        <f t="shared" si="5"/>
        <v>-- 20,</v>
      </c>
      <c r="Q142" s="25"/>
    </row>
    <row r="143" spans="13:17">
      <c r="M143" s="24" t="str">
        <f t="shared" si="5"/>
        <v>-- 21,</v>
      </c>
      <c r="Q143" s="25"/>
    </row>
    <row r="144" spans="13:17">
      <c r="M144" s="24" t="str">
        <f t="shared" si="5"/>
        <v>-- 22,</v>
      </c>
      <c r="Q144" s="25"/>
    </row>
    <row r="145" spans="13:17">
      <c r="M145" s="24" t="str">
        <f t="shared" si="5"/>
        <v>-- 23,</v>
      </c>
      <c r="Q145" s="25"/>
    </row>
    <row r="146" spans="13:17">
      <c r="M146" s="24" t="str">
        <f t="shared" si="5"/>
        <v>-- 24,</v>
      </c>
      <c r="Q146" s="25"/>
    </row>
    <row r="147" spans="13:17">
      <c r="M147" s="24" t="str">
        <f t="shared" si="5"/>
        <v>-- 25,</v>
      </c>
      <c r="Q147" s="25"/>
    </row>
    <row r="148" spans="13:17">
      <c r="M148" s="24" t="str">
        <f t="shared" si="5"/>
        <v>-- 26,</v>
      </c>
      <c r="Q148" s="25"/>
    </row>
    <row r="149" spans="13:17">
      <c r="M149" s="24" t="str">
        <f t="shared" si="5"/>
        <v>-- 27,</v>
      </c>
      <c r="Q149" s="25"/>
    </row>
    <row r="150" spans="13:17">
      <c r="M150" s="24" t="str">
        <f t="shared" si="5"/>
        <v>-- 28,</v>
      </c>
      <c r="Q150" s="25"/>
    </row>
    <row r="151" spans="13:17">
      <c r="M151" s="24" t="str">
        <f t="shared" si="5"/>
        <v>-- 29,</v>
      </c>
      <c r="Q151" s="25"/>
    </row>
    <row r="152" spans="13:17">
      <c r="M152" s="24" t="str">
        <f t="shared" si="5"/>
        <v>-- 30,</v>
      </c>
      <c r="Q152" s="25"/>
    </row>
    <row r="153" spans="13:17">
      <c r="M153" s="24" t="str">
        <f t="shared" si="5"/>
        <v>-- 31,</v>
      </c>
      <c r="Q153" s="25"/>
    </row>
    <row r="154" spans="13:17">
      <c r="M154" s="24" t="str">
        <f t="shared" si="5"/>
        <v>-- 32,</v>
      </c>
      <c r="Q154" s="25"/>
    </row>
    <row r="155" spans="13:17">
      <c r="M155" s="24" t="str">
        <f t="shared" si="5"/>
        <v>-- 33,</v>
      </c>
      <c r="Q155" s="25"/>
    </row>
    <row r="156" spans="13:17">
      <c r="M156" s="24" t="str">
        <f t="shared" si="5"/>
        <v>-- 34,</v>
      </c>
      <c r="Q156" s="25"/>
    </row>
    <row r="157" spans="13:17">
      <c r="M157" s="24" t="str">
        <f t="shared" si="5"/>
        <v>-- 35,</v>
      </c>
      <c r="Q157" s="25"/>
    </row>
    <row r="158" spans="13:17">
      <c r="M158" s="24" t="str">
        <f t="shared" si="5"/>
        <v>-- 36,</v>
      </c>
      <c r="Q158" s="25"/>
    </row>
    <row r="159" spans="13:17">
      <c r="M159" s="24" t="str">
        <f t="shared" si="5"/>
        <v>-- 37,</v>
      </c>
      <c r="Q159" s="25"/>
    </row>
    <row r="160" spans="13:17">
      <c r="M160" s="24" t="str">
        <f t="shared" si="5"/>
        <v>-- 38,</v>
      </c>
      <c r="Q160" s="25"/>
    </row>
    <row r="161" spans="12:17">
      <c r="M161" s="24" t="str">
        <f t="shared" si="5"/>
        <v>-- 39,</v>
      </c>
      <c r="Q161" s="25"/>
    </row>
    <row r="162" spans="12:17">
      <c r="M162" s="24" t="str">
        <f t="shared" si="5"/>
        <v>-- 40,</v>
      </c>
      <c r="Q162" s="25"/>
    </row>
    <row r="163" spans="12:17">
      <c r="M163" s="24" t="str">
        <f t="shared" si="5"/>
        <v>-- 41,</v>
      </c>
      <c r="Q163" s="25"/>
    </row>
    <row r="164" spans="12:17">
      <c r="M164" s="24" t="str">
        <f t="shared" si="5"/>
        <v>-- 42,</v>
      </c>
      <c r="Q164" s="25"/>
    </row>
    <row r="165" spans="12:17">
      <c r="M165" s="24" t="str">
        <f t="shared" si="5"/>
        <v>-- 43,</v>
      </c>
      <c r="Q165" s="25"/>
    </row>
    <row r="166" spans="12:17">
      <c r="M166" s="24" t="str">
        <f t="shared" si="5"/>
        <v>-- 44,</v>
      </c>
      <c r="Q166" s="25"/>
    </row>
    <row r="167" spans="12:17">
      <c r="M167" s="24" t="str">
        <f t="shared" si="5"/>
        <v>-- 45,</v>
      </c>
      <c r="Q167" s="25"/>
    </row>
    <row r="168" spans="12:17">
      <c r="M168" s="24" t="str">
        <f t="shared" si="5"/>
        <v>-- 46,</v>
      </c>
      <c r="Q168" s="25"/>
    </row>
    <row r="169" spans="12:17">
      <c r="M169" s="24" t="str">
        <f t="shared" si="5"/>
        <v>-- 47,</v>
      </c>
      <c r="Q169" s="25"/>
    </row>
    <row r="170" spans="12:17">
      <c r="M170" s="24" t="str">
        <f t="shared" si="5"/>
        <v>-- 48,</v>
      </c>
      <c r="Q170" s="25"/>
    </row>
    <row r="171" spans="12:17">
      <c r="M171" s="24" t="str">
        <f t="shared" si="5"/>
        <v>-- 49,</v>
      </c>
      <c r="Q171" s="25"/>
    </row>
    <row r="172" spans="12:17">
      <c r="M172" s="24" t="str">
        <f t="shared" si="5"/>
        <v>-- 50,</v>
      </c>
    </row>
    <row r="173" spans="12:17">
      <c r="L173" s="24"/>
      <c r="M173" s="24" t="str">
        <f t="shared" si="5"/>
        <v>-- 51,</v>
      </c>
    </row>
    <row r="174" spans="12:17">
      <c r="L174" s="24"/>
      <c r="M174" s="24" t="str">
        <f t="shared" si="5"/>
        <v>-- 52,</v>
      </c>
    </row>
    <row r="175" spans="12:17">
      <c r="L175" s="24"/>
      <c r="M175" s="24" t="str">
        <f t="shared" si="5"/>
        <v>-- 53,</v>
      </c>
    </row>
    <row r="176" spans="12:17">
      <c r="L176" s="24"/>
      <c r="M176" s="24" t="str">
        <f t="shared" si="5"/>
        <v>-- 54,</v>
      </c>
    </row>
    <row r="177" spans="12:13">
      <c r="L177" s="24"/>
      <c r="M177" s="24" t="str">
        <f t="shared" si="5"/>
        <v>-- 55,</v>
      </c>
    </row>
    <row r="178" spans="12:13">
      <c r="L178" s="24"/>
      <c r="M178" s="24" t="str">
        <f t="shared" si="5"/>
        <v>-- 56,</v>
      </c>
    </row>
    <row r="179" spans="12:13">
      <c r="L179" s="24"/>
      <c r="M179" s="24" t="str">
        <f t="shared" si="5"/>
        <v>-- 57,</v>
      </c>
    </row>
    <row r="180" spans="12:13">
      <c r="L180" s="24"/>
      <c r="M180" s="24" t="str">
        <f t="shared" si="5"/>
        <v>-- 58,</v>
      </c>
    </row>
    <row r="181" spans="12:13">
      <c r="L181" s="24"/>
      <c r="M181" s="24" t="str">
        <f t="shared" si="5"/>
        <v>-- 59,</v>
      </c>
    </row>
    <row r="182" spans="12:13">
      <c r="L182" s="24"/>
      <c r="M182" s="24" t="str">
        <f t="shared" si="5"/>
        <v>-- 60,</v>
      </c>
    </row>
    <row r="183" spans="12:13">
      <c r="L183" s="24"/>
      <c r="M183" s="24" t="str">
        <f t="shared" si="5"/>
        <v>-- 61,</v>
      </c>
    </row>
    <row r="184" spans="12:13">
      <c r="L184" s="24"/>
      <c r="M184" s="24" t="str">
        <f t="shared" si="5"/>
        <v>-- 62,</v>
      </c>
    </row>
    <row r="185" spans="12:13">
      <c r="L185" s="24"/>
      <c r="M185" s="24" t="str">
        <f t="shared" si="5"/>
        <v>-- 63,</v>
      </c>
    </row>
    <row r="186" spans="12:13">
      <c r="L186" s="24"/>
      <c r="M186" s="24" t="str">
        <f t="shared" si="5"/>
        <v>-- 64,</v>
      </c>
    </row>
    <row r="187" spans="12:13">
      <c r="L187" s="24"/>
      <c r="M187" s="24" t="str">
        <f t="shared" si="5"/>
        <v>-- 65,</v>
      </c>
    </row>
    <row r="188" spans="12:13">
      <c r="L188" s="24"/>
      <c r="M188" s="24" t="str">
        <f t="shared" ref="M188:M222" si="6">IF(TRIM($B72)="","-- "&amp;$A72&amp;",",IF(LEFT($B72,2)="--","-- "&amp;$A72&amp;",","")&amp;"EXEC sp_addextendedproperty 'MS_Description', '"&amp;TRIM($C72)&amp;IF($K72="","","("&amp;$K72&amp;")")&amp;"', "&amp;REPT(" ",60-LENB(TRIM($C72)&amp;IF($K72="","","("&amp;$K72&amp;")")))&amp;" 'schema', 'dbo', N'table', '"&amp;TRIM($C$3)&amp;"', 'column', '"&amp;TRIM($B72)&amp;"';"&amp;REPT(" ",20-LENB(TRIM($B72)))&amp;"-- 컬럼")</f>
        <v>-- 66,</v>
      </c>
    </row>
    <row r="189" spans="12:13">
      <c r="L189" s="24"/>
      <c r="M189" s="24" t="str">
        <f t="shared" si="6"/>
        <v>-- 67,</v>
      </c>
    </row>
    <row r="190" spans="12:13">
      <c r="L190" s="24"/>
      <c r="M190" s="24" t="str">
        <f t="shared" si="6"/>
        <v>-- 68,</v>
      </c>
    </row>
    <row r="191" spans="12:13">
      <c r="L191" s="24"/>
      <c r="M191" s="24" t="str">
        <f t="shared" si="6"/>
        <v>-- 69,</v>
      </c>
    </row>
    <row r="192" spans="12:13">
      <c r="L192" s="24"/>
      <c r="M192" s="24" t="str">
        <f t="shared" si="6"/>
        <v>-- 70,</v>
      </c>
    </row>
    <row r="193" spans="12:13">
      <c r="L193" s="24"/>
      <c r="M193" s="24" t="str">
        <f t="shared" si="6"/>
        <v>-- 71,</v>
      </c>
    </row>
    <row r="194" spans="12:13">
      <c r="L194" s="24"/>
      <c r="M194" s="24" t="str">
        <f t="shared" si="6"/>
        <v>-- 72,</v>
      </c>
    </row>
    <row r="195" spans="12:13">
      <c r="L195" s="24"/>
      <c r="M195" s="24" t="str">
        <f t="shared" si="6"/>
        <v>-- 73,</v>
      </c>
    </row>
    <row r="196" spans="12:13">
      <c r="L196" s="24"/>
      <c r="M196" s="24" t="str">
        <f t="shared" si="6"/>
        <v>-- 74,</v>
      </c>
    </row>
    <row r="197" spans="12:13">
      <c r="L197" s="24"/>
      <c r="M197" s="24" t="str">
        <f t="shared" si="6"/>
        <v>-- 75,</v>
      </c>
    </row>
    <row r="198" spans="12:13">
      <c r="L198" s="24"/>
      <c r="M198" s="24" t="str">
        <f t="shared" si="6"/>
        <v>-- 76,</v>
      </c>
    </row>
    <row r="199" spans="12:13">
      <c r="L199" s="24"/>
      <c r="M199" s="24" t="str">
        <f t="shared" si="6"/>
        <v>-- 77,</v>
      </c>
    </row>
    <row r="200" spans="12:13">
      <c r="L200" s="24"/>
      <c r="M200" s="24" t="str">
        <f t="shared" si="6"/>
        <v>-- 78,</v>
      </c>
    </row>
    <row r="201" spans="12:13">
      <c r="L201" s="24"/>
      <c r="M201" s="24" t="str">
        <f t="shared" si="6"/>
        <v>-- 79,</v>
      </c>
    </row>
    <row r="202" spans="12:13">
      <c r="L202" s="24"/>
      <c r="M202" s="24" t="str">
        <f t="shared" si="6"/>
        <v>-- 80,</v>
      </c>
    </row>
    <row r="203" spans="12:13">
      <c r="L203" s="24"/>
      <c r="M203" s="24" t="str">
        <f t="shared" si="6"/>
        <v>-- 81,</v>
      </c>
    </row>
    <row r="204" spans="12:13">
      <c r="L204" s="24"/>
      <c r="M204" s="24" t="str">
        <f t="shared" si="6"/>
        <v>-- 82,</v>
      </c>
    </row>
    <row r="205" spans="12:13">
      <c r="L205" s="24"/>
      <c r="M205" s="24" t="str">
        <f t="shared" si="6"/>
        <v>-- 83,</v>
      </c>
    </row>
    <row r="206" spans="12:13">
      <c r="L206" s="24"/>
      <c r="M206" s="24" t="str">
        <f t="shared" si="6"/>
        <v>-- 84,</v>
      </c>
    </row>
    <row r="207" spans="12:13">
      <c r="L207" s="24"/>
      <c r="M207" s="24" t="str">
        <f t="shared" si="6"/>
        <v>-- 85,</v>
      </c>
    </row>
    <row r="208" spans="12:13">
      <c r="L208" s="24"/>
      <c r="M208" s="24" t="str">
        <f t="shared" si="6"/>
        <v>-- 86,</v>
      </c>
    </row>
    <row r="209" spans="12:13">
      <c r="L209" s="24"/>
      <c r="M209" s="24" t="str">
        <f t="shared" si="6"/>
        <v>-- 87,</v>
      </c>
    </row>
    <row r="210" spans="12:13">
      <c r="L210" s="24"/>
      <c r="M210" s="24" t="str">
        <f t="shared" si="6"/>
        <v>-- 88,</v>
      </c>
    </row>
    <row r="211" spans="12:13">
      <c r="L211" s="24"/>
      <c r="M211" s="24" t="str">
        <f t="shared" si="6"/>
        <v>-- 89,</v>
      </c>
    </row>
    <row r="212" spans="12:13">
      <c r="L212" s="24"/>
      <c r="M212" s="24" t="str">
        <f t="shared" si="6"/>
        <v>-- 90,</v>
      </c>
    </row>
    <row r="213" spans="12:13">
      <c r="L213" s="24"/>
      <c r="M213" s="24" t="str">
        <f t="shared" si="6"/>
        <v>-- 91,</v>
      </c>
    </row>
    <row r="214" spans="12:13">
      <c r="L214" s="24"/>
      <c r="M214" s="24" t="str">
        <f t="shared" si="6"/>
        <v>-- 92,</v>
      </c>
    </row>
    <row r="215" spans="12:13">
      <c r="L215" s="24"/>
      <c r="M215" s="24" t="str">
        <f t="shared" si="6"/>
        <v>-- 93,</v>
      </c>
    </row>
    <row r="216" spans="12:13">
      <c r="L216" s="24"/>
      <c r="M216" s="24" t="str">
        <f t="shared" si="6"/>
        <v>-- 94,</v>
      </c>
    </row>
    <row r="217" spans="12:13">
      <c r="L217" s="24"/>
      <c r="M217" s="24" t="str">
        <f t="shared" si="6"/>
        <v>-- 95,</v>
      </c>
    </row>
    <row r="218" spans="12:13">
      <c r="L218" s="24"/>
      <c r="M218" s="24" t="str">
        <f t="shared" si="6"/>
        <v>-- 96,</v>
      </c>
    </row>
    <row r="219" spans="12:13">
      <c r="L219" s="24"/>
      <c r="M219" s="24" t="str">
        <f t="shared" si="6"/>
        <v>-- 97,</v>
      </c>
    </row>
    <row r="220" spans="12:13">
      <c r="L220" s="24"/>
      <c r="M220" s="24" t="str">
        <f t="shared" si="6"/>
        <v>-- 98,</v>
      </c>
    </row>
    <row r="221" spans="12:13">
      <c r="L221" s="24"/>
      <c r="M221" s="24" t="str">
        <f t="shared" si="6"/>
        <v>-- 99,</v>
      </c>
    </row>
    <row r="222" spans="12:13">
      <c r="L222" s="24"/>
      <c r="M222" s="24" t="str">
        <f t="shared" si="6"/>
        <v>-- 100,</v>
      </c>
    </row>
    <row r="223" spans="12:13">
      <c r="L223" s="24"/>
      <c r="M223" s="24"/>
    </row>
    <row r="224" spans="12:13">
      <c r="L224" s="24"/>
      <c r="M224" s="18" t="s">
        <v>651</v>
      </c>
    </row>
    <row r="225" spans="12:13">
      <c r="L225" s="24"/>
      <c r="M225" s="24" t="str">
        <f>REPT(" ",6)&amp;IF(ISBLANK($B7),"--"&amp;$A7,
LEFT(SUBSTITUTE($B7," ","*")&amp;
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storeNumber                   VARCHAR(256)                                                ,</v>
      </c>
    </row>
    <row r="226" spans="12:13">
      <c r="L226" s="24"/>
      <c r="M226" s="24" t="str">
        <f>IF(TRIM($B110)="","-- "&amp;$A110&amp;",",IF(LEFT($B110,2)="--","-- "&amp;$A110&amp;",","")&amp;"EXEC sp_addextendedproperty 'MS_Description', '"&amp;TRIM($C110)&amp;IF($K110="","","("&amp;$K110&amp;")")&amp;"', "&amp;REPT(" ",60-LENB(TRIM($C110)&amp;IF($K110="","","("&amp;$K110&amp;")")))&amp;" 'schema', 'dbo', N'table', '"&amp;TRIM($C$3)&amp;"', 'column', '"&amp;TRIM($B110)&amp;"';"&amp;REPT(" ",20-LENB(TRIM($B110)))&amp;"-- 컬럼")</f>
        <v>-- ,</v>
      </c>
    </row>
    <row r="227" spans="12:13">
      <c r="L227" s="24"/>
      <c r="M227" s="24" t="str">
        <f t="shared" ref="M227:M290" si="7">IF(TRIM($B111)="","-- "&amp;$A111&amp;",",IF(LEFT($B111,2)="--","-- "&amp;$A111&amp;",","")&amp;"EXEC sp_addextendedproperty 'MS_Description', '"&amp;TRIM($C111)&amp;IF($K111="","","("&amp;$K111&amp;")")&amp;"', "&amp;REPT(" ",60-LENB(TRIM($C111)&amp;IF($K111="","","("&amp;$K111&amp;")")))&amp;" 'schema', 'dbo', N'table', '"&amp;TRIM($C$3)&amp;"', 'column', '"&amp;TRIM($B111)&amp;"';"&amp;REPT(" ",20-LENB(TRIM($B111)))&amp;"-- 컬럼")</f>
        <v>-- ,</v>
      </c>
    </row>
    <row r="228" spans="12:13">
      <c r="L228" s="24"/>
      <c r="M228" s="24" t="str">
        <f t="shared" si="7"/>
        <v>-- ,</v>
      </c>
    </row>
    <row r="229" spans="12:13">
      <c r="L229" s="24"/>
      <c r="M229" s="24" t="str">
        <f t="shared" si="7"/>
        <v>-- ,</v>
      </c>
    </row>
    <row r="230" spans="12:13">
      <c r="L230" s="24"/>
      <c r="M230" s="24" t="str">
        <f t="shared" si="7"/>
        <v>-- ,</v>
      </c>
    </row>
    <row r="231" spans="12:13">
      <c r="L231" s="24"/>
      <c r="M231" s="24" t="str">
        <f t="shared" si="7"/>
        <v>-- ,</v>
      </c>
    </row>
    <row r="232" spans="12:13">
      <c r="L232" s="24"/>
      <c r="M232" s="24" t="str">
        <f t="shared" si="7"/>
        <v>-- ,</v>
      </c>
    </row>
    <row r="233" spans="12:13">
      <c r="L233" s="24"/>
      <c r="M233" s="24" t="str">
        <f t="shared" si="7"/>
        <v>-- ,</v>
      </c>
    </row>
    <row r="234" spans="12:13">
      <c r="L234" s="24"/>
      <c r="M234" s="24" t="str">
        <f t="shared" si="7"/>
        <v>-- ,</v>
      </c>
    </row>
    <row r="235" spans="12:13">
      <c r="L235" s="24"/>
      <c r="M235" s="24" t="str">
        <f t="shared" si="7"/>
        <v>EXEC sp_addextendedproperty 'MS_Description', '',                                                              'schema', 'dbo', N'table', 'Showcase', 'column', '*초기데이터';         -- 컬럼</v>
      </c>
    </row>
    <row r="236" spans="12:13">
      <c r="L236" s="24"/>
      <c r="M236" s="24" t="str">
        <f t="shared" si="7"/>
        <v>-- ,</v>
      </c>
    </row>
    <row r="237" spans="12:13">
      <c r="L237" s="24"/>
      <c r="M237" s="24" t="str">
        <f t="shared" si="7"/>
        <v>-- ,</v>
      </c>
    </row>
    <row r="238" spans="12:13">
      <c r="L238" s="24"/>
      <c r="M238" s="24" t="str">
        <f t="shared" si="7"/>
        <v>-- ,</v>
      </c>
    </row>
    <row r="239" spans="12:13">
      <c r="L239" s="24"/>
      <c r="M239" s="24" t="str">
        <f t="shared" si="7"/>
        <v>-- ,</v>
      </c>
    </row>
    <row r="240" spans="12:13">
      <c r="L240" s="24"/>
      <c r="M240" s="24" t="str">
        <f t="shared" si="7"/>
        <v>-- ,</v>
      </c>
    </row>
    <row r="241" spans="12:13">
      <c r="L241" s="24"/>
      <c r="M241" s="24" t="str">
        <f t="shared" si="7"/>
        <v>-- ,</v>
      </c>
    </row>
    <row r="242" spans="12:13">
      <c r="L242" s="24"/>
      <c r="M242" s="24" t="str">
        <f t="shared" si="7"/>
        <v>-- ,</v>
      </c>
    </row>
    <row r="243" spans="12:13">
      <c r="L243" s="24"/>
      <c r="M243" s="24" t="str">
        <f t="shared" si="7"/>
        <v>-- ,</v>
      </c>
    </row>
    <row r="244" spans="12:13">
      <c r="L244" s="24"/>
      <c r="M244" s="24" t="str">
        <f t="shared" si="7"/>
        <v>-- ,</v>
      </c>
    </row>
    <row r="245" spans="12:13">
      <c r="L245" s="24"/>
      <c r="M245" s="24" t="str">
        <f t="shared" si="7"/>
        <v>-- ,</v>
      </c>
    </row>
    <row r="246" spans="12:13">
      <c r="L246" s="24"/>
      <c r="M246" s="24" t="str">
        <f t="shared" si="7"/>
        <v>-- ,</v>
      </c>
    </row>
    <row r="247" spans="12:13">
      <c r="L247" s="24"/>
      <c r="M247" s="24" t="str">
        <f t="shared" si="7"/>
        <v>-- ,</v>
      </c>
    </row>
    <row r="248" spans="12:13">
      <c r="L248" s="24"/>
      <c r="M248" s="24" t="str">
        <f t="shared" si="7"/>
        <v>-- ,</v>
      </c>
    </row>
    <row r="249" spans="12:13">
      <c r="L249" s="24"/>
      <c r="M249" s="24" t="str">
        <f t="shared" si="7"/>
        <v>-- ,</v>
      </c>
    </row>
    <row r="250" spans="12:13">
      <c r="L250" s="24"/>
      <c r="M250" s="24" t="str">
        <f t="shared" si="7"/>
        <v>-- ,</v>
      </c>
    </row>
    <row r="251" spans="12:13">
      <c r="L251" s="24"/>
      <c r="M251" s="24" t="str">
        <f t="shared" si="7"/>
        <v>-- ,</v>
      </c>
    </row>
    <row r="252" spans="12:13">
      <c r="L252" s="24"/>
      <c r="M252" s="24" t="str">
        <f t="shared" si="7"/>
        <v>-- ,</v>
      </c>
    </row>
    <row r="253" spans="12:13">
      <c r="L253" s="24"/>
      <c r="M253" s="24" t="str">
        <f t="shared" si="7"/>
        <v>-- ,</v>
      </c>
    </row>
    <row r="254" spans="12:13">
      <c r="L254" s="24"/>
      <c r="M254" s="24" t="str">
        <f t="shared" si="7"/>
        <v>-- ,</v>
      </c>
    </row>
    <row r="255" spans="12:13">
      <c r="L255" s="24"/>
      <c r="M255" s="24" t="str">
        <f t="shared" si="7"/>
        <v>-- ,</v>
      </c>
    </row>
    <row r="256" spans="12:13">
      <c r="L256" s="24"/>
      <c r="M256" s="24" t="str">
        <f t="shared" si="7"/>
        <v>-- ,</v>
      </c>
    </row>
    <row r="257" spans="12:13">
      <c r="L257" s="24"/>
      <c r="M257" s="24" t="str">
        <f t="shared" si="7"/>
        <v>-- ,</v>
      </c>
    </row>
    <row r="258" spans="12:13">
      <c r="L258" s="24"/>
      <c r="M258" s="24" t="str">
        <f t="shared" si="7"/>
        <v>-- ,</v>
      </c>
    </row>
    <row r="259" spans="12:13">
      <c r="L259" s="24"/>
      <c r="M259" s="24" t="str">
        <f t="shared" si="7"/>
        <v>-- ,</v>
      </c>
    </row>
    <row r="260" spans="12:13">
      <c r="L260" s="24"/>
      <c r="M260" s="24" t="str">
        <f t="shared" si="7"/>
        <v>-- ,</v>
      </c>
    </row>
    <row r="261" spans="12:13">
      <c r="L261" s="24"/>
      <c r="M261" s="24" t="str">
        <f t="shared" si="7"/>
        <v>-- ,</v>
      </c>
    </row>
    <row r="262" spans="12:13">
      <c r="L262" s="24"/>
      <c r="M262" s="24" t="str">
        <f t="shared" si="7"/>
        <v>-- ,</v>
      </c>
    </row>
    <row r="263" spans="12:13">
      <c r="L263" s="24"/>
      <c r="M263" s="24" t="str">
        <f t="shared" si="7"/>
        <v>-- ,</v>
      </c>
    </row>
    <row r="264" spans="12:13">
      <c r="L264" s="24"/>
      <c r="M264" s="24" t="str">
        <f t="shared" si="7"/>
        <v>-- ,</v>
      </c>
    </row>
    <row r="265" spans="12:13">
      <c r="L265" s="24"/>
      <c r="M265" s="24" t="str">
        <f t="shared" si="7"/>
        <v>-- ,</v>
      </c>
    </row>
    <row r="266" spans="12:13">
      <c r="L266" s="24"/>
      <c r="M266" s="24" t="str">
        <f t="shared" si="7"/>
        <v>-- ,</v>
      </c>
    </row>
    <row r="267" spans="12:13">
      <c r="L267" s="24"/>
      <c r="M267" s="24" t="str">
        <f t="shared" si="7"/>
        <v>-- ,</v>
      </c>
    </row>
    <row r="268" spans="12:13">
      <c r="L268" s="24"/>
      <c r="M268" s="24" t="str">
        <f t="shared" si="7"/>
        <v>-- ,</v>
      </c>
    </row>
    <row r="269" spans="12:13">
      <c r="L269" s="24"/>
      <c r="M269" s="24" t="str">
        <f t="shared" si="7"/>
        <v>-- ,</v>
      </c>
    </row>
    <row r="270" spans="12:13">
      <c r="L270" s="24"/>
      <c r="M270" s="24" t="str">
        <f t="shared" si="7"/>
        <v>-- ,</v>
      </c>
    </row>
    <row r="271" spans="12:13">
      <c r="L271" s="24"/>
      <c r="M271" s="24" t="str">
        <f t="shared" si="7"/>
        <v>-- ,</v>
      </c>
    </row>
    <row r="272" spans="12:13">
      <c r="L272" s="24"/>
      <c r="M272" s="24" t="str">
        <f t="shared" si="7"/>
        <v>-- ,</v>
      </c>
    </row>
    <row r="273" spans="12:13">
      <c r="L273" s="24"/>
      <c r="M273" s="24" t="str">
        <f t="shared" si="7"/>
        <v>-- ,</v>
      </c>
    </row>
    <row r="274" spans="12:13">
      <c r="L274" s="24"/>
      <c r="M274" s="24" t="str">
        <f t="shared" si="7"/>
        <v>-- ,</v>
      </c>
    </row>
    <row r="275" spans="12:13">
      <c r="L275" s="24"/>
      <c r="M275" s="24" t="str">
        <f t="shared" si="7"/>
        <v>-- ,</v>
      </c>
    </row>
    <row r="276" spans="12:13">
      <c r="L276" s="24"/>
      <c r="M276" s="24" t="str">
        <f t="shared" si="7"/>
        <v>-- ,</v>
      </c>
    </row>
    <row r="277" spans="12:13">
      <c r="L277" s="24"/>
      <c r="M277" s="24" t="str">
        <f t="shared" si="7"/>
        <v>-- ,</v>
      </c>
    </row>
    <row r="278" spans="12:13">
      <c r="L278" s="24"/>
      <c r="M278" s="24" t="str">
        <f t="shared" si="7"/>
        <v>-- ,</v>
      </c>
    </row>
    <row r="279" spans="12:13">
      <c r="L279" s="24"/>
      <c r="M279" s="24" t="str">
        <f t="shared" si="7"/>
        <v>-- ,</v>
      </c>
    </row>
    <row r="280" spans="12:13">
      <c r="L280" s="24"/>
      <c r="M280" s="24" t="str">
        <f t="shared" si="7"/>
        <v>-- ,</v>
      </c>
    </row>
    <row r="281" spans="12:13">
      <c r="L281" s="24"/>
      <c r="M281" s="24" t="str">
        <f t="shared" si="7"/>
        <v>-- ,</v>
      </c>
    </row>
    <row r="282" spans="12:13">
      <c r="L282" s="24"/>
      <c r="M282" s="24" t="str">
        <f t="shared" si="7"/>
        <v>-- ,</v>
      </c>
    </row>
    <row r="283" spans="12:13">
      <c r="L283" s="24"/>
      <c r="M283" s="24" t="str">
        <f t="shared" si="7"/>
        <v>-- ,</v>
      </c>
    </row>
    <row r="284" spans="12:13">
      <c r="L284" s="24"/>
      <c r="M284" s="24" t="str">
        <f t="shared" si="7"/>
        <v>-- ,</v>
      </c>
    </row>
    <row r="285" spans="12:13">
      <c r="L285" s="24"/>
      <c r="M285" s="24" t="str">
        <f t="shared" si="7"/>
        <v>-- ,</v>
      </c>
    </row>
    <row r="286" spans="12:13">
      <c r="L286" s="24"/>
      <c r="M286" s="24" t="str">
        <f t="shared" si="7"/>
        <v>-- ,</v>
      </c>
    </row>
    <row r="287" spans="12:13">
      <c r="L287" s="24"/>
      <c r="M287" s="24" t="str">
        <f t="shared" si="7"/>
        <v>-- ,</v>
      </c>
    </row>
    <row r="288" spans="12:13">
      <c r="L288" s="24"/>
      <c r="M288" s="24" t="str">
        <f t="shared" si="7"/>
        <v>-- ,</v>
      </c>
    </row>
    <row r="289" spans="12:13">
      <c r="L289" s="24"/>
      <c r="M289" s="24" t="str">
        <f t="shared" si="7"/>
        <v>-- ,</v>
      </c>
    </row>
    <row r="290" spans="12:13">
      <c r="L290" s="24"/>
      <c r="M290" s="24" t="str">
        <f t="shared" si="7"/>
        <v>-- ,</v>
      </c>
    </row>
    <row r="291" spans="12:13">
      <c r="L291" s="24"/>
      <c r="M291" s="24" t="str">
        <f t="shared" ref="M291:M324" si="8">IF(TRIM($B175)="","-- "&amp;$A175&amp;",",IF(LEFT($B175,2)="--","-- "&amp;$A175&amp;",","")&amp;"EXEC sp_addextendedproperty 'MS_Description', '"&amp;TRIM($C175)&amp;IF($K175="","","("&amp;$K175&amp;")")&amp;"', "&amp;REPT(" ",60-LENB(TRIM($C175)&amp;IF($K175="","","("&amp;$K175&amp;")")))&amp;" 'schema', 'dbo', N'table', '"&amp;TRIM($C$3)&amp;"', 'column', '"&amp;TRIM($B175)&amp;"';"&amp;REPT(" ",20-LENB(TRIM($B175)))&amp;"-- 컬럼")</f>
        <v>-- ,</v>
      </c>
    </row>
    <row r="292" spans="12:13">
      <c r="L292" s="24"/>
      <c r="M292" s="24" t="str">
        <f t="shared" si="8"/>
        <v>-- ,</v>
      </c>
    </row>
    <row r="293" spans="12:13">
      <c r="L293" s="24"/>
      <c r="M293" s="24" t="str">
        <f t="shared" si="8"/>
        <v>-- ,</v>
      </c>
    </row>
    <row r="294" spans="12:13">
      <c r="L294" s="24"/>
      <c r="M294" s="24" t="str">
        <f t="shared" si="8"/>
        <v>-- ,</v>
      </c>
    </row>
    <row r="295" spans="12:13">
      <c r="L295" s="24"/>
      <c r="M295" s="24" t="str">
        <f t="shared" si="8"/>
        <v>-- ,</v>
      </c>
    </row>
    <row r="296" spans="12:13">
      <c r="L296" s="24"/>
      <c r="M296" s="24" t="str">
        <f t="shared" si="8"/>
        <v>-- ,</v>
      </c>
    </row>
    <row r="297" spans="12:13">
      <c r="L297" s="24"/>
      <c r="M297" s="24" t="str">
        <f t="shared" si="8"/>
        <v>-- ,</v>
      </c>
    </row>
    <row r="298" spans="12:13">
      <c r="L298" s="24"/>
      <c r="M298" s="24" t="str">
        <f t="shared" si="8"/>
        <v>-- ,</v>
      </c>
    </row>
    <row r="299" spans="12:13">
      <c r="L299" s="24"/>
      <c r="M299" s="24" t="str">
        <f t="shared" si="8"/>
        <v>-- ,</v>
      </c>
    </row>
    <row r="300" spans="12:13">
      <c r="L300" s="24"/>
      <c r="M300" s="24" t="str">
        <f t="shared" si="8"/>
        <v>-- ,</v>
      </c>
    </row>
    <row r="301" spans="12:13">
      <c r="L301" s="24"/>
      <c r="M301" s="24" t="str">
        <f t="shared" si="8"/>
        <v>-- ,</v>
      </c>
    </row>
    <row r="302" spans="12:13">
      <c r="L302" s="24"/>
      <c r="M302" s="24" t="str">
        <f t="shared" si="8"/>
        <v>-- ,</v>
      </c>
    </row>
    <row r="303" spans="12:13">
      <c r="L303" s="24"/>
      <c r="M303" s="24" t="str">
        <f t="shared" si="8"/>
        <v>-- ,</v>
      </c>
    </row>
    <row r="304" spans="12:13">
      <c r="L304" s="24"/>
      <c r="M304" s="24" t="str">
        <f t="shared" si="8"/>
        <v>-- ,</v>
      </c>
    </row>
    <row r="305" spans="12:13">
      <c r="L305" s="24"/>
      <c r="M305" s="24" t="str">
        <f t="shared" si="8"/>
        <v>-- ,</v>
      </c>
    </row>
    <row r="306" spans="12:13">
      <c r="L306" s="24"/>
      <c r="M306" s="24" t="str">
        <f t="shared" si="8"/>
        <v>-- ,</v>
      </c>
    </row>
    <row r="307" spans="12:13">
      <c r="L307" s="24"/>
      <c r="M307" s="24" t="str">
        <f t="shared" si="8"/>
        <v>-- ,</v>
      </c>
    </row>
    <row r="308" spans="12:13">
      <c r="L308" s="24"/>
      <c r="M308" s="24" t="str">
        <f t="shared" si="8"/>
        <v>-- ,</v>
      </c>
    </row>
    <row r="309" spans="12:13">
      <c r="L309" s="24"/>
      <c r="M309" s="24" t="str">
        <f t="shared" si="8"/>
        <v>-- ,</v>
      </c>
    </row>
    <row r="310" spans="12:13">
      <c r="L310" s="24"/>
      <c r="M310" s="24" t="str">
        <f t="shared" si="8"/>
        <v>-- ,</v>
      </c>
    </row>
    <row r="311" spans="12:13">
      <c r="L311" s="24"/>
      <c r="M311" s="24" t="str">
        <f t="shared" si="8"/>
        <v>-- ,</v>
      </c>
    </row>
    <row r="312" spans="12:13">
      <c r="L312" s="24"/>
      <c r="M312" s="24" t="str">
        <f t="shared" si="8"/>
        <v>-- ,</v>
      </c>
    </row>
    <row r="313" spans="12:13">
      <c r="L313" s="24"/>
      <c r="M313" s="24" t="str">
        <f t="shared" si="8"/>
        <v>-- ,</v>
      </c>
    </row>
    <row r="314" spans="12:13">
      <c r="L314" s="24"/>
      <c r="M314" s="24" t="str">
        <f t="shared" si="8"/>
        <v>-- ,</v>
      </c>
    </row>
    <row r="315" spans="12:13">
      <c r="L315" s="24"/>
      <c r="M315" s="24" t="str">
        <f t="shared" si="8"/>
        <v>-- ,</v>
      </c>
    </row>
    <row r="316" spans="12:13">
      <c r="L316" s="24"/>
      <c r="M316" s="24" t="str">
        <f t="shared" si="8"/>
        <v>-- ,</v>
      </c>
    </row>
    <row r="317" spans="12:13">
      <c r="L317" s="24"/>
      <c r="M317" s="24" t="str">
        <f t="shared" si="8"/>
        <v>-- ,</v>
      </c>
    </row>
    <row r="318" spans="12:13">
      <c r="L318" s="24"/>
      <c r="M318" s="24" t="str">
        <f t="shared" si="8"/>
        <v>-- ,</v>
      </c>
    </row>
    <row r="319" spans="12:13">
      <c r="L319" s="24"/>
      <c r="M319" s="24" t="str">
        <f t="shared" si="8"/>
        <v>-- ,</v>
      </c>
    </row>
    <row r="320" spans="12:13">
      <c r="L320" s="24"/>
      <c r="M320" s="24" t="str">
        <f t="shared" si="8"/>
        <v>-- ,</v>
      </c>
    </row>
    <row r="321" spans="12:13">
      <c r="L321" s="24"/>
      <c r="M321" s="24" t="str">
        <f t="shared" si="8"/>
        <v>-- ,</v>
      </c>
    </row>
    <row r="322" spans="12:13">
      <c r="L322" s="24"/>
      <c r="M322" s="24" t="str">
        <f t="shared" si="8"/>
        <v>-- ,</v>
      </c>
    </row>
    <row r="323" spans="12:13">
      <c r="L323" s="24"/>
      <c r="M323" s="24" t="str">
        <f t="shared" si="8"/>
        <v>-- ,</v>
      </c>
    </row>
    <row r="324" spans="12:13">
      <c r="L324" s="24"/>
      <c r="M324" s="24" t="str">
        <f t="shared" si="8"/>
        <v>-- ,</v>
      </c>
    </row>
    <row r="325" spans="12:13">
      <c r="L325" s="24"/>
      <c r="M325" s="20" t="s">
        <v>652</v>
      </c>
    </row>
    <row r="326" spans="12:13">
      <c r="M326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'진열장',                                                        'schema', 'dbo', 'table', 'Showcase';                -- 테이블</v>
      </c>
    </row>
    <row r="328" spans="12:13">
      <c r="M328" s="20" t="s">
        <v>653</v>
      </c>
    </row>
    <row r="329" spans="12:13">
      <c r="M329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'진열장',                                                        'schema', 'dbo', 'table', 'Showcase';                -- 테이블</v>
      </c>
    </row>
    <row r="330" spans="12:13">
      <c r="M330" s="24" t="str">
        <f>IF(TRIM($B214)="","-- "&amp;$A214&amp;",",IF(LEFT($B214,2)="--","-- "&amp;$A214&amp;",","")&amp;"EXEC sp_addextendedproperty 'MS_Description', '"&amp;TRIM($C214)&amp;IF($K214="","","("&amp;$K214&amp;")")&amp;"', "&amp;REPT(" ",60-LENB(TRIM($C214)&amp;IF($K214="","","("&amp;$K214&amp;")")))&amp;" 'schema', 'dbo', N'table', '"&amp;TRIM($C$3)&amp;"', 'column', '"&amp;TRIM($B214)&amp;"';"&amp;REPT(" ",20-LENB(TRIM($B214)))&amp;"-- 컬럼")</f>
        <v>-- ,</v>
      </c>
    </row>
    <row r="331" spans="12:13">
      <c r="M331" s="24" t="str">
        <f t="shared" ref="M331:M394" si="9">IF(TRIM($B215)="","-- "&amp;$A215&amp;",",IF(LEFT($B215,2)="--","-- "&amp;$A215&amp;",","")&amp;"EXEC sp_addextendedproperty 'MS_Description', '"&amp;TRIM($C215)&amp;IF($K215="","","("&amp;$K215&amp;")")&amp;"', "&amp;REPT(" ",60-LENB(TRIM($C215)&amp;IF($K215="","","("&amp;$K215&amp;")")))&amp;" 'schema', 'dbo', N'table', '"&amp;TRIM($C$3)&amp;"', 'column', '"&amp;TRIM($B215)&amp;"';"&amp;REPT(" ",20-LENB(TRIM($B215)))&amp;"-- 컬럼")</f>
        <v>-- ,</v>
      </c>
    </row>
    <row r="332" spans="12:13">
      <c r="M332" s="24" t="str">
        <f t="shared" si="9"/>
        <v>-- ,</v>
      </c>
    </row>
    <row r="333" spans="12:13">
      <c r="M333" s="24" t="str">
        <f t="shared" si="9"/>
        <v>-- ,</v>
      </c>
    </row>
    <row r="334" spans="12:13">
      <c r="M334" s="24" t="str">
        <f t="shared" si="9"/>
        <v>-- ,</v>
      </c>
    </row>
    <row r="335" spans="12:13">
      <c r="M335" s="24" t="str">
        <f t="shared" si="9"/>
        <v>-- ,</v>
      </c>
    </row>
    <row r="336" spans="12:13">
      <c r="M336" s="24" t="str">
        <f t="shared" si="9"/>
        <v>-- ,</v>
      </c>
    </row>
    <row r="337" spans="13:13">
      <c r="M337" s="24" t="str">
        <f t="shared" si="9"/>
        <v>-- ,</v>
      </c>
    </row>
    <row r="338" spans="13:13">
      <c r="M338" s="24" t="str">
        <f t="shared" si="9"/>
        <v>-- ,</v>
      </c>
    </row>
    <row r="339" spans="13:13">
      <c r="M339" s="24" t="str">
        <f t="shared" si="9"/>
        <v>-- ,</v>
      </c>
    </row>
    <row r="340" spans="13:13">
      <c r="M340" s="24" t="str">
        <f t="shared" si="9"/>
        <v>-- ,</v>
      </c>
    </row>
    <row r="341" spans="13:13">
      <c r="M341" s="24" t="str">
        <f t="shared" si="9"/>
        <v>-- ,</v>
      </c>
    </row>
    <row r="342" spans="13:13">
      <c r="M342" s="24" t="str">
        <f t="shared" si="9"/>
        <v>-- ,</v>
      </c>
    </row>
    <row r="343" spans="13:13">
      <c r="M343" s="24" t="str">
        <f t="shared" si="9"/>
        <v>-- ,</v>
      </c>
    </row>
    <row r="344" spans="13:13">
      <c r="M344" s="24" t="str">
        <f t="shared" si="9"/>
        <v>-- ,</v>
      </c>
    </row>
    <row r="345" spans="13:13">
      <c r="M345" s="24" t="str">
        <f t="shared" si="9"/>
        <v>-- ,</v>
      </c>
    </row>
    <row r="346" spans="13:13">
      <c r="M346" s="24" t="str">
        <f t="shared" si="9"/>
        <v>-- ,</v>
      </c>
    </row>
    <row r="347" spans="13:13">
      <c r="M347" s="24" t="str">
        <f t="shared" si="9"/>
        <v>-- ,</v>
      </c>
    </row>
    <row r="348" spans="13:13">
      <c r="M348" s="24" t="str">
        <f t="shared" si="9"/>
        <v>-- ,</v>
      </c>
    </row>
    <row r="349" spans="13:13">
      <c r="M349" s="24" t="str">
        <f t="shared" si="9"/>
        <v>-- ,</v>
      </c>
    </row>
    <row r="350" spans="13:13">
      <c r="M350" s="24" t="str">
        <f t="shared" si="9"/>
        <v>-- ,</v>
      </c>
    </row>
    <row r="351" spans="13:13">
      <c r="M351" s="24" t="str">
        <f t="shared" si="9"/>
        <v>-- ,</v>
      </c>
    </row>
    <row r="352" spans="13:13">
      <c r="M352" s="24" t="str">
        <f t="shared" si="9"/>
        <v>-- ,</v>
      </c>
    </row>
    <row r="353" spans="13:13">
      <c r="M353" s="24" t="str">
        <f t="shared" si="9"/>
        <v>-- ,</v>
      </c>
    </row>
    <row r="354" spans="13:13">
      <c r="M354" s="24" t="str">
        <f t="shared" si="9"/>
        <v>-- ,</v>
      </c>
    </row>
    <row r="355" spans="13:13">
      <c r="M355" s="24" t="str">
        <f t="shared" si="9"/>
        <v>-- ,</v>
      </c>
    </row>
    <row r="356" spans="13:13">
      <c r="M356" s="24" t="str">
        <f t="shared" si="9"/>
        <v>-- ,</v>
      </c>
    </row>
    <row r="357" spans="13:13">
      <c r="M357" s="24" t="str">
        <f t="shared" si="9"/>
        <v>-- ,</v>
      </c>
    </row>
    <row r="358" spans="13:13">
      <c r="M358" s="24" t="str">
        <f t="shared" si="9"/>
        <v>-- ,</v>
      </c>
    </row>
    <row r="359" spans="13:13">
      <c r="M359" s="24" t="str">
        <f t="shared" si="9"/>
        <v>-- ,</v>
      </c>
    </row>
    <row r="360" spans="13:13">
      <c r="M360" s="24" t="str">
        <f t="shared" si="9"/>
        <v>-- ,</v>
      </c>
    </row>
    <row r="361" spans="13:13">
      <c r="M361" s="24" t="str">
        <f t="shared" si="9"/>
        <v>-- ,</v>
      </c>
    </row>
    <row r="362" spans="13:13">
      <c r="M362" s="24" t="str">
        <f t="shared" si="9"/>
        <v>-- ,</v>
      </c>
    </row>
    <row r="363" spans="13:13">
      <c r="M363" s="24" t="str">
        <f t="shared" si="9"/>
        <v>-- ,</v>
      </c>
    </row>
    <row r="364" spans="13:13">
      <c r="M364" s="24" t="str">
        <f t="shared" si="9"/>
        <v>-- ,</v>
      </c>
    </row>
    <row r="365" spans="13:13">
      <c r="M365" s="24" t="str">
        <f t="shared" si="9"/>
        <v>-- ,</v>
      </c>
    </row>
    <row r="366" spans="13:13">
      <c r="M366" s="24" t="str">
        <f t="shared" si="9"/>
        <v>-- ,</v>
      </c>
    </row>
    <row r="367" spans="13:13">
      <c r="M367" s="24" t="str">
        <f t="shared" si="9"/>
        <v>-- ,</v>
      </c>
    </row>
    <row r="368" spans="13:13">
      <c r="M368" s="24" t="str">
        <f t="shared" si="9"/>
        <v>-- ,</v>
      </c>
    </row>
    <row r="369" spans="13:13">
      <c r="M369" s="24" t="str">
        <f t="shared" si="9"/>
        <v>-- ,</v>
      </c>
    </row>
    <row r="370" spans="13:13">
      <c r="M370" s="24" t="str">
        <f t="shared" si="9"/>
        <v>-- ,</v>
      </c>
    </row>
    <row r="371" spans="13:13">
      <c r="M371" s="24" t="str">
        <f t="shared" si="9"/>
        <v>-- ,</v>
      </c>
    </row>
    <row r="372" spans="13:13">
      <c r="M372" s="24" t="str">
        <f t="shared" si="9"/>
        <v>-- ,</v>
      </c>
    </row>
    <row r="373" spans="13:13">
      <c r="M373" s="24" t="str">
        <f t="shared" si="9"/>
        <v>-- ,</v>
      </c>
    </row>
    <row r="374" spans="13:13">
      <c r="M374" s="24" t="str">
        <f t="shared" si="9"/>
        <v>-- ,</v>
      </c>
    </row>
    <row r="375" spans="13:13">
      <c r="M375" s="24" t="str">
        <f t="shared" si="9"/>
        <v>-- ,</v>
      </c>
    </row>
    <row r="376" spans="13:13">
      <c r="M376" s="24" t="str">
        <f t="shared" si="9"/>
        <v>-- ,</v>
      </c>
    </row>
    <row r="377" spans="13:13">
      <c r="M377" s="24" t="str">
        <f t="shared" si="9"/>
        <v>-- ,</v>
      </c>
    </row>
    <row r="378" spans="13:13">
      <c r="M378" s="24" t="str">
        <f t="shared" si="9"/>
        <v>-- ,</v>
      </c>
    </row>
    <row r="379" spans="13:13">
      <c r="M379" s="24" t="str">
        <f t="shared" si="9"/>
        <v>-- ,</v>
      </c>
    </row>
    <row r="380" spans="13:13">
      <c r="M380" s="24" t="str">
        <f t="shared" si="9"/>
        <v>-- ,</v>
      </c>
    </row>
    <row r="381" spans="13:13">
      <c r="M381" s="24" t="str">
        <f t="shared" si="9"/>
        <v>-- ,</v>
      </c>
    </row>
    <row r="382" spans="13:13">
      <c r="M382" s="24" t="str">
        <f t="shared" si="9"/>
        <v>-- ,</v>
      </c>
    </row>
    <row r="383" spans="13:13">
      <c r="M383" s="24" t="str">
        <f t="shared" si="9"/>
        <v>-- ,</v>
      </c>
    </row>
    <row r="384" spans="13:13">
      <c r="M384" s="24" t="str">
        <f t="shared" si="9"/>
        <v>-- ,</v>
      </c>
    </row>
    <row r="385" spans="13:13">
      <c r="M385" s="24" t="str">
        <f t="shared" si="9"/>
        <v>-- ,</v>
      </c>
    </row>
    <row r="386" spans="13:13">
      <c r="M386" s="24" t="str">
        <f t="shared" si="9"/>
        <v>-- ,</v>
      </c>
    </row>
    <row r="387" spans="13:13">
      <c r="M387" s="24" t="str">
        <f t="shared" si="9"/>
        <v>-- ,</v>
      </c>
    </row>
    <row r="388" spans="13:13">
      <c r="M388" s="24" t="str">
        <f t="shared" si="9"/>
        <v>-- ,</v>
      </c>
    </row>
    <row r="389" spans="13:13">
      <c r="M389" s="24" t="str">
        <f t="shared" si="9"/>
        <v>-- ,</v>
      </c>
    </row>
    <row r="390" spans="13:13">
      <c r="M390" s="24" t="str">
        <f t="shared" si="9"/>
        <v>-- ,</v>
      </c>
    </row>
    <row r="391" spans="13:13">
      <c r="M391" s="24" t="str">
        <f t="shared" si="9"/>
        <v>-- ,</v>
      </c>
    </row>
    <row r="392" spans="13:13">
      <c r="M392" s="24" t="str">
        <f t="shared" si="9"/>
        <v>-- ,</v>
      </c>
    </row>
    <row r="393" spans="13:13">
      <c r="M393" s="24" t="str">
        <f t="shared" si="9"/>
        <v>-- ,</v>
      </c>
    </row>
    <row r="394" spans="13:13">
      <c r="M394" s="24" t="str">
        <f t="shared" si="9"/>
        <v>-- ,</v>
      </c>
    </row>
    <row r="395" spans="13:13">
      <c r="M395" s="24" t="str">
        <f t="shared" ref="M395:M429" si="10">IF(TRIM($B279)="","-- "&amp;$A279&amp;",",IF(LEFT($B279,2)="--","-- "&amp;$A279&amp;",","")&amp;"EXEC sp_addextendedproperty 'MS_Description', '"&amp;TRIM($C279)&amp;IF($K279="","","("&amp;$K279&amp;")")&amp;"', "&amp;REPT(" ",60-LENB(TRIM($C279)&amp;IF($K279="","","("&amp;$K279&amp;")")))&amp;" 'schema', 'dbo', N'table', '"&amp;TRIM($C$3)&amp;"', 'column', '"&amp;TRIM($B279)&amp;"';"&amp;REPT(" ",20-LENB(TRIM($B279)))&amp;"-- 컬럼")</f>
        <v>-- ,</v>
      </c>
    </row>
    <row r="396" spans="13:13">
      <c r="M396" s="24" t="str">
        <f t="shared" si="10"/>
        <v>-- ,</v>
      </c>
    </row>
    <row r="397" spans="13:13">
      <c r="M397" s="24" t="str">
        <f t="shared" si="10"/>
        <v>-- ,</v>
      </c>
    </row>
    <row r="398" spans="13:13">
      <c r="M398" s="24" t="str">
        <f t="shared" si="10"/>
        <v>-- ,</v>
      </c>
    </row>
    <row r="399" spans="13:13">
      <c r="M399" s="24" t="str">
        <f t="shared" si="10"/>
        <v>-- ,</v>
      </c>
    </row>
    <row r="400" spans="13:13">
      <c r="M400" s="24" t="str">
        <f t="shared" si="10"/>
        <v>-- ,</v>
      </c>
    </row>
    <row r="401" spans="13:13">
      <c r="M401" s="24" t="str">
        <f t="shared" si="10"/>
        <v>-- ,</v>
      </c>
    </row>
    <row r="402" spans="13:13">
      <c r="M402" s="24" t="str">
        <f t="shared" si="10"/>
        <v>-- ,</v>
      </c>
    </row>
    <row r="403" spans="13:13">
      <c r="M403" s="24" t="str">
        <f t="shared" si="10"/>
        <v>-- ,</v>
      </c>
    </row>
    <row r="404" spans="13:13">
      <c r="M404" s="24" t="str">
        <f t="shared" si="10"/>
        <v>-- ,</v>
      </c>
    </row>
    <row r="405" spans="13:13">
      <c r="M405" s="24" t="str">
        <f t="shared" si="10"/>
        <v>-- ,</v>
      </c>
    </row>
    <row r="406" spans="13:13">
      <c r="M406" s="24" t="str">
        <f t="shared" si="10"/>
        <v>-- ,</v>
      </c>
    </row>
    <row r="407" spans="13:13">
      <c r="M407" s="24" t="str">
        <f t="shared" si="10"/>
        <v>-- ,</v>
      </c>
    </row>
    <row r="408" spans="13:13">
      <c r="M408" s="24" t="str">
        <f t="shared" si="10"/>
        <v>-- ,</v>
      </c>
    </row>
    <row r="409" spans="13:13">
      <c r="M409" s="24" t="str">
        <f t="shared" si="10"/>
        <v>-- ,</v>
      </c>
    </row>
    <row r="410" spans="13:13">
      <c r="M410" s="24" t="str">
        <f t="shared" si="10"/>
        <v>-- ,</v>
      </c>
    </row>
    <row r="411" spans="13:13">
      <c r="M411" s="24" t="str">
        <f t="shared" si="10"/>
        <v>-- ,</v>
      </c>
    </row>
    <row r="412" spans="13:13">
      <c r="M412" s="24" t="str">
        <f t="shared" si="10"/>
        <v>-- ,</v>
      </c>
    </row>
    <row r="413" spans="13:13">
      <c r="M413" s="24" t="str">
        <f t="shared" si="10"/>
        <v>-- ,</v>
      </c>
    </row>
    <row r="414" spans="13:13">
      <c r="M414" s="24" t="str">
        <f t="shared" si="10"/>
        <v>-- ,</v>
      </c>
    </row>
    <row r="415" spans="13:13">
      <c r="M415" s="24" t="str">
        <f t="shared" si="10"/>
        <v>-- ,</v>
      </c>
    </row>
    <row r="416" spans="13:13">
      <c r="M416" s="24" t="str">
        <f t="shared" si="10"/>
        <v>-- ,</v>
      </c>
    </row>
    <row r="417" spans="13:13">
      <c r="M417" s="24" t="str">
        <f t="shared" si="10"/>
        <v>-- ,</v>
      </c>
    </row>
    <row r="418" spans="13:13">
      <c r="M418" s="24" t="str">
        <f t="shared" si="10"/>
        <v>-- ,</v>
      </c>
    </row>
    <row r="419" spans="13:13">
      <c r="M419" s="24" t="str">
        <f t="shared" si="10"/>
        <v>-- ,</v>
      </c>
    </row>
    <row r="420" spans="13:13">
      <c r="M420" s="24" t="str">
        <f t="shared" si="10"/>
        <v>-- ,</v>
      </c>
    </row>
    <row r="421" spans="13:13">
      <c r="M421" s="24" t="str">
        <f t="shared" si="10"/>
        <v>-- ,</v>
      </c>
    </row>
    <row r="422" spans="13:13">
      <c r="M422" s="24" t="str">
        <f t="shared" si="10"/>
        <v>-- ,</v>
      </c>
    </row>
    <row r="423" spans="13:13">
      <c r="M423" s="24" t="str">
        <f t="shared" si="10"/>
        <v>-- ,</v>
      </c>
    </row>
    <row r="424" spans="13:13">
      <c r="M424" s="24" t="str">
        <f t="shared" si="10"/>
        <v>-- ,</v>
      </c>
    </row>
    <row r="425" spans="13:13">
      <c r="M425" s="24" t="str">
        <f t="shared" si="10"/>
        <v>-- ,</v>
      </c>
    </row>
    <row r="426" spans="13:13">
      <c r="M426" s="24" t="str">
        <f t="shared" si="10"/>
        <v>-- ,</v>
      </c>
    </row>
    <row r="427" spans="13:13">
      <c r="M427" s="24" t="str">
        <f t="shared" si="10"/>
        <v>-- ,</v>
      </c>
    </row>
    <row r="428" spans="13:13">
      <c r="M428" s="24" t="str">
        <f t="shared" si="10"/>
        <v>-- ,</v>
      </c>
    </row>
    <row r="429" spans="13:13">
      <c r="M429" s="24" t="str">
        <f t="shared" si="10"/>
        <v>-- ,</v>
      </c>
    </row>
    <row r="430" spans="13:13">
      <c r="M430" s="20" t="s">
        <v>654</v>
      </c>
    </row>
    <row r="431" spans="13:13">
      <c r="M431" s="24" t="str">
        <f>IF(TRIM($B315)="","-- "&amp;$A315&amp;",",IF(LEFT($B315,2)="--","-- "&amp;$A315&amp;",","")&amp;"EXEC sp_addextendedproperty 'MS_Description', '"&amp;TRIM($C315)&amp;IF($K315="","","("&amp;$K315&amp;")")&amp;"', "&amp;REPT(" ",60-LENB(TRIM($C315)&amp;IF($K315="","","("&amp;$K315&amp;")")))&amp;" 'schema', 'dbo', N'table', '"&amp;TRIM($C$3)&amp;"', 'column', '"&amp;TRIM($B315)&amp;"';"&amp;REPT(" ",20-LENB(TRIM($B315)))&amp;"-- 컬럼")</f>
        <v>-- ,</v>
      </c>
    </row>
    <row r="432" spans="13:13">
      <c r="M432" s="24" t="str">
        <f t="shared" ref="M432:M495" si="11">IF(TRIM($B316)="","-- "&amp;$A316&amp;",",IF(LEFT($B316,2)="--","-- "&amp;$A316&amp;",","")&amp;"EXEC sp_addextendedproperty 'MS_Description', '"&amp;TRIM($C316)&amp;IF($K316="","","("&amp;$K316&amp;")")&amp;"', "&amp;REPT(" ",60-LENB(TRIM($C316)&amp;IF($K316="","","("&amp;$K316&amp;")")))&amp;" 'schema', 'dbo', N'table', '"&amp;TRIM($C$3)&amp;"', 'column', '"&amp;TRIM($B316)&amp;"';"&amp;REPT(" ",20-LENB(TRIM($B316)))&amp;"-- 컬럼")</f>
        <v>-- ,</v>
      </c>
    </row>
    <row r="433" spans="13:13">
      <c r="M433" s="24" t="str">
        <f t="shared" si="11"/>
        <v>-- ,</v>
      </c>
    </row>
    <row r="434" spans="13:13">
      <c r="M434" s="24" t="str">
        <f t="shared" si="11"/>
        <v>-- ,</v>
      </c>
    </row>
    <row r="435" spans="13:13">
      <c r="M435" s="24" t="str">
        <f t="shared" si="11"/>
        <v>-- ,</v>
      </c>
    </row>
    <row r="436" spans="13:13">
      <c r="M436" s="24" t="str">
        <f t="shared" si="11"/>
        <v>-- ,</v>
      </c>
    </row>
    <row r="437" spans="13:13">
      <c r="M437" s="24" t="str">
        <f t="shared" si="11"/>
        <v>-- ,</v>
      </c>
    </row>
    <row r="438" spans="13:13">
      <c r="M438" s="24" t="str">
        <f t="shared" si="11"/>
        <v>-- ,</v>
      </c>
    </row>
    <row r="439" spans="13:13">
      <c r="M439" s="24" t="str">
        <f t="shared" si="11"/>
        <v>-- ,</v>
      </c>
    </row>
    <row r="440" spans="13:13">
      <c r="M440" s="24" t="str">
        <f t="shared" si="11"/>
        <v>-- ,</v>
      </c>
    </row>
    <row r="441" spans="13:13">
      <c r="M441" s="24" t="str">
        <f t="shared" si="11"/>
        <v>-- ,</v>
      </c>
    </row>
    <row r="442" spans="13:13">
      <c r="M442" s="24" t="str">
        <f t="shared" si="11"/>
        <v>-- ,</v>
      </c>
    </row>
    <row r="443" spans="13:13">
      <c r="M443" s="24" t="str">
        <f t="shared" si="11"/>
        <v>-- ,</v>
      </c>
    </row>
    <row r="444" spans="13:13">
      <c r="M444" s="24" t="str">
        <f t="shared" si="11"/>
        <v>-- ,</v>
      </c>
    </row>
    <row r="445" spans="13:13">
      <c r="M445" s="24" t="str">
        <f t="shared" si="11"/>
        <v>-- ,</v>
      </c>
    </row>
    <row r="446" spans="13:13">
      <c r="M446" s="24" t="str">
        <f t="shared" si="11"/>
        <v>-- ,</v>
      </c>
    </row>
    <row r="447" spans="13:13">
      <c r="M447" s="24" t="str">
        <f t="shared" si="11"/>
        <v>-- ,</v>
      </c>
    </row>
    <row r="448" spans="13:13">
      <c r="M448" s="24" t="str">
        <f t="shared" si="11"/>
        <v>-- ,</v>
      </c>
    </row>
    <row r="449" spans="13:13">
      <c r="M449" s="24" t="str">
        <f t="shared" si="11"/>
        <v>-- ,</v>
      </c>
    </row>
    <row r="450" spans="13:13">
      <c r="M450" s="24" t="str">
        <f t="shared" si="11"/>
        <v>-- ,</v>
      </c>
    </row>
    <row r="451" spans="13:13">
      <c r="M451" s="24" t="str">
        <f t="shared" si="11"/>
        <v>-- ,</v>
      </c>
    </row>
    <row r="452" spans="13:13">
      <c r="M452" s="24" t="str">
        <f t="shared" si="11"/>
        <v>-- ,</v>
      </c>
    </row>
    <row r="453" spans="13:13">
      <c r="M453" s="24" t="str">
        <f t="shared" si="11"/>
        <v>-- ,</v>
      </c>
    </row>
    <row r="454" spans="13:13">
      <c r="M454" s="24" t="str">
        <f t="shared" si="11"/>
        <v>-- ,</v>
      </c>
    </row>
    <row r="455" spans="13:13">
      <c r="M455" s="24" t="str">
        <f t="shared" si="11"/>
        <v>-- ,</v>
      </c>
    </row>
    <row r="456" spans="13:13">
      <c r="M456" s="24" t="str">
        <f t="shared" si="11"/>
        <v>-- ,</v>
      </c>
    </row>
    <row r="457" spans="13:13">
      <c r="M457" s="24" t="str">
        <f t="shared" si="11"/>
        <v>-- ,</v>
      </c>
    </row>
    <row r="458" spans="13:13">
      <c r="M458" s="24" t="str">
        <f t="shared" si="11"/>
        <v>-- ,</v>
      </c>
    </row>
    <row r="459" spans="13:13">
      <c r="M459" s="24" t="str">
        <f t="shared" si="11"/>
        <v>-- ,</v>
      </c>
    </row>
    <row r="460" spans="13:13">
      <c r="M460" s="24" t="str">
        <f t="shared" si="11"/>
        <v>-- ,</v>
      </c>
    </row>
    <row r="461" spans="13:13">
      <c r="M461" s="24" t="str">
        <f t="shared" si="11"/>
        <v>-- ,</v>
      </c>
    </row>
    <row r="462" spans="13:13">
      <c r="M462" s="24" t="str">
        <f t="shared" si="11"/>
        <v>-- ,</v>
      </c>
    </row>
    <row r="463" spans="13:13">
      <c r="M463" s="24" t="str">
        <f t="shared" si="11"/>
        <v>-- ,</v>
      </c>
    </row>
    <row r="464" spans="13:13">
      <c r="M464" s="24" t="str">
        <f t="shared" si="11"/>
        <v>-- ,</v>
      </c>
    </row>
    <row r="465" spans="13:13">
      <c r="M465" s="24" t="str">
        <f t="shared" si="11"/>
        <v>-- ,</v>
      </c>
    </row>
    <row r="466" spans="13:13">
      <c r="M466" s="24" t="str">
        <f t="shared" si="11"/>
        <v>-- ,</v>
      </c>
    </row>
    <row r="467" spans="13:13">
      <c r="M467" s="24" t="str">
        <f t="shared" si="11"/>
        <v>-- ,</v>
      </c>
    </row>
    <row r="468" spans="13:13">
      <c r="M468" s="24" t="str">
        <f t="shared" si="11"/>
        <v>-- ,</v>
      </c>
    </row>
    <row r="469" spans="13:13">
      <c r="M469" s="24" t="str">
        <f t="shared" si="11"/>
        <v>-- ,</v>
      </c>
    </row>
    <row r="470" spans="13:13">
      <c r="M470" s="24" t="str">
        <f t="shared" si="11"/>
        <v>-- ,</v>
      </c>
    </row>
    <row r="471" spans="13:13">
      <c r="M471" s="24" t="str">
        <f t="shared" si="11"/>
        <v>-- ,</v>
      </c>
    </row>
    <row r="472" spans="13:13">
      <c r="M472" s="24" t="str">
        <f t="shared" si="11"/>
        <v>-- ,</v>
      </c>
    </row>
    <row r="473" spans="13:13">
      <c r="M473" s="24" t="str">
        <f t="shared" si="11"/>
        <v>-- ,</v>
      </c>
    </row>
    <row r="474" spans="13:13">
      <c r="M474" s="24" t="str">
        <f t="shared" si="11"/>
        <v>-- ,</v>
      </c>
    </row>
    <row r="475" spans="13:13">
      <c r="M475" s="24" t="str">
        <f t="shared" si="11"/>
        <v>-- ,</v>
      </c>
    </row>
    <row r="476" spans="13:13">
      <c r="M476" s="24" t="str">
        <f t="shared" si="11"/>
        <v>-- ,</v>
      </c>
    </row>
    <row r="477" spans="13:13">
      <c r="M477" s="24" t="str">
        <f t="shared" si="11"/>
        <v>-- ,</v>
      </c>
    </row>
    <row r="478" spans="13:13">
      <c r="M478" s="24" t="str">
        <f t="shared" si="11"/>
        <v>-- ,</v>
      </c>
    </row>
    <row r="479" spans="13:13">
      <c r="M479" s="24" t="str">
        <f t="shared" si="11"/>
        <v>-- ,</v>
      </c>
    </row>
    <row r="480" spans="13:13">
      <c r="M480" s="24" t="str">
        <f t="shared" si="11"/>
        <v>-- ,</v>
      </c>
    </row>
    <row r="481" spans="13:13">
      <c r="M481" s="24" t="str">
        <f t="shared" si="11"/>
        <v>-- ,</v>
      </c>
    </row>
    <row r="482" spans="13:13">
      <c r="M482" s="24" t="str">
        <f t="shared" si="11"/>
        <v>-- ,</v>
      </c>
    </row>
    <row r="483" spans="13:13">
      <c r="M483" s="24" t="str">
        <f t="shared" si="11"/>
        <v>-- ,</v>
      </c>
    </row>
    <row r="484" spans="13:13">
      <c r="M484" s="24" t="str">
        <f t="shared" si="11"/>
        <v>-- ,</v>
      </c>
    </row>
    <row r="485" spans="13:13">
      <c r="M485" s="24" t="str">
        <f t="shared" si="11"/>
        <v>-- ,</v>
      </c>
    </row>
    <row r="486" spans="13:13">
      <c r="M486" s="24" t="str">
        <f t="shared" si="11"/>
        <v>-- ,</v>
      </c>
    </row>
    <row r="487" spans="13:13">
      <c r="M487" s="24" t="str">
        <f t="shared" si="11"/>
        <v>-- ,</v>
      </c>
    </row>
    <row r="488" spans="13:13">
      <c r="M488" s="24" t="str">
        <f t="shared" si="11"/>
        <v>-- ,</v>
      </c>
    </row>
    <row r="489" spans="13:13">
      <c r="M489" s="24" t="str">
        <f t="shared" si="11"/>
        <v>-- ,</v>
      </c>
    </row>
    <row r="490" spans="13:13">
      <c r="M490" s="24" t="str">
        <f t="shared" si="11"/>
        <v>-- ,</v>
      </c>
    </row>
    <row r="491" spans="13:13">
      <c r="M491" s="24" t="str">
        <f t="shared" si="11"/>
        <v>-- ,</v>
      </c>
    </row>
    <row r="492" spans="13:13">
      <c r="M492" s="24" t="str">
        <f t="shared" si="11"/>
        <v>-- ,</v>
      </c>
    </row>
    <row r="493" spans="13:13">
      <c r="M493" s="24" t="str">
        <f t="shared" si="11"/>
        <v>-- ,</v>
      </c>
    </row>
    <row r="494" spans="13:13">
      <c r="M494" s="24" t="str">
        <f t="shared" si="11"/>
        <v>-- ,</v>
      </c>
    </row>
    <row r="495" spans="13:13">
      <c r="M495" s="24" t="str">
        <f t="shared" si="11"/>
        <v>-- ,</v>
      </c>
    </row>
    <row r="496" spans="13:13">
      <c r="M496" s="24" t="str">
        <f t="shared" ref="M496:M530" si="12">IF(TRIM($B380)="","-- "&amp;$A380&amp;",",IF(LEFT($B380,2)="--","-- "&amp;$A380&amp;",","")&amp;"EXEC sp_addextendedproperty 'MS_Description', '"&amp;TRIM($C380)&amp;IF($K380="","","("&amp;$K380&amp;")")&amp;"', "&amp;REPT(" ",60-LENB(TRIM($C380)&amp;IF($K380="","","("&amp;$K380&amp;")")))&amp;" 'schema', 'dbo', N'table', '"&amp;TRIM($C$3)&amp;"', 'column', '"&amp;TRIM($B380)&amp;"';"&amp;REPT(" ",20-LENB(TRIM($B380)))&amp;"-- 컬럼")</f>
        <v>-- ,</v>
      </c>
    </row>
    <row r="497" spans="13:13">
      <c r="M497" s="24" t="str">
        <f t="shared" si="12"/>
        <v>-- ,</v>
      </c>
    </row>
    <row r="498" spans="13:13">
      <c r="M498" s="24" t="str">
        <f t="shared" si="12"/>
        <v>-- ,</v>
      </c>
    </row>
    <row r="499" spans="13:13">
      <c r="M499" s="24" t="str">
        <f t="shared" si="12"/>
        <v>-- ,</v>
      </c>
    </row>
    <row r="500" spans="13:13">
      <c r="M500" s="24" t="str">
        <f t="shared" si="12"/>
        <v>-- ,</v>
      </c>
    </row>
    <row r="501" spans="13:13">
      <c r="M501" s="24" t="str">
        <f t="shared" si="12"/>
        <v>-- ,</v>
      </c>
    </row>
    <row r="502" spans="13:13">
      <c r="M502" s="24" t="str">
        <f t="shared" si="12"/>
        <v>-- ,</v>
      </c>
    </row>
    <row r="503" spans="13:13">
      <c r="M503" s="24" t="str">
        <f t="shared" si="12"/>
        <v>-- ,</v>
      </c>
    </row>
    <row r="504" spans="13:13">
      <c r="M504" s="24" t="str">
        <f t="shared" si="12"/>
        <v>-- ,</v>
      </c>
    </row>
    <row r="505" spans="13:13">
      <c r="M505" s="24" t="str">
        <f t="shared" si="12"/>
        <v>-- ,</v>
      </c>
    </row>
    <row r="506" spans="13:13">
      <c r="M506" s="24" t="str">
        <f t="shared" si="12"/>
        <v>-- ,</v>
      </c>
    </row>
    <row r="507" spans="13:13">
      <c r="M507" s="24" t="str">
        <f t="shared" si="12"/>
        <v>-- ,</v>
      </c>
    </row>
    <row r="508" spans="13:13">
      <c r="M508" s="24" t="str">
        <f t="shared" si="12"/>
        <v>-- ,</v>
      </c>
    </row>
    <row r="509" spans="13:13">
      <c r="M509" s="24" t="str">
        <f t="shared" si="12"/>
        <v>-- ,</v>
      </c>
    </row>
    <row r="510" spans="13:13">
      <c r="M510" s="24" t="str">
        <f t="shared" si="12"/>
        <v>-- ,</v>
      </c>
    </row>
    <row r="511" spans="13:13">
      <c r="M511" s="24" t="str">
        <f t="shared" si="12"/>
        <v>-- ,</v>
      </c>
    </row>
    <row r="512" spans="13:13">
      <c r="M512" s="24" t="str">
        <f t="shared" si="12"/>
        <v>-- ,</v>
      </c>
    </row>
    <row r="513" spans="13:13">
      <c r="M513" s="24" t="str">
        <f t="shared" si="12"/>
        <v>-- ,</v>
      </c>
    </row>
    <row r="514" spans="13:13">
      <c r="M514" s="24" t="str">
        <f t="shared" si="12"/>
        <v>-- ,</v>
      </c>
    </row>
    <row r="515" spans="13:13">
      <c r="M515" s="24" t="str">
        <f t="shared" si="12"/>
        <v>-- ,</v>
      </c>
    </row>
    <row r="516" spans="13:13">
      <c r="M516" s="24" t="str">
        <f t="shared" si="12"/>
        <v>-- ,</v>
      </c>
    </row>
    <row r="517" spans="13:13">
      <c r="M517" s="24" t="str">
        <f t="shared" si="12"/>
        <v>-- ,</v>
      </c>
    </row>
    <row r="518" spans="13:13">
      <c r="M518" s="24" t="str">
        <f t="shared" si="12"/>
        <v>-- ,</v>
      </c>
    </row>
    <row r="519" spans="13:13">
      <c r="M519" s="24" t="str">
        <f t="shared" si="12"/>
        <v>-- ,</v>
      </c>
    </row>
    <row r="520" spans="13:13">
      <c r="M520" s="24" t="str">
        <f t="shared" si="12"/>
        <v>-- ,</v>
      </c>
    </row>
    <row r="521" spans="13:13">
      <c r="M521" s="24" t="str">
        <f t="shared" si="12"/>
        <v>-- ,</v>
      </c>
    </row>
    <row r="522" spans="13:13">
      <c r="M522" s="24" t="str">
        <f t="shared" si="12"/>
        <v>-- ,</v>
      </c>
    </row>
    <row r="523" spans="13:13">
      <c r="M523" s="24" t="str">
        <f t="shared" si="12"/>
        <v>-- ,</v>
      </c>
    </row>
    <row r="524" spans="13:13">
      <c r="M524" s="24" t="str">
        <f t="shared" si="12"/>
        <v>-- ,</v>
      </c>
    </row>
    <row r="525" spans="13:13">
      <c r="M525" s="24" t="str">
        <f t="shared" si="12"/>
        <v>-- ,</v>
      </c>
    </row>
    <row r="526" spans="13:13">
      <c r="M526" s="24" t="str">
        <f t="shared" si="12"/>
        <v>-- ,</v>
      </c>
    </row>
    <row r="527" spans="13:13">
      <c r="M527" s="24" t="str">
        <f t="shared" si="12"/>
        <v>-- ,</v>
      </c>
    </row>
    <row r="528" spans="13:13">
      <c r="M528" s="24" t="str">
        <f t="shared" si="12"/>
        <v>-- ,</v>
      </c>
    </row>
    <row r="529" spans="13:13">
      <c r="M529" s="24" t="str">
        <f t="shared" si="12"/>
        <v>-- ,</v>
      </c>
    </row>
    <row r="530" spans="13:13">
      <c r="M530" s="24" t="str">
        <f t="shared" si="12"/>
        <v>-- ,</v>
      </c>
    </row>
    <row r="531" spans="13:13">
      <c r="M531" s="20" t="s">
        <v>655</v>
      </c>
    </row>
    <row r="533" spans="13:13">
      <c r="M533" s="20" t="s">
        <v>656</v>
      </c>
    </row>
  </sheetData>
  <mergeCells count="12">
    <mergeCell ref="A4:B4"/>
    <mergeCell ref="C4:K4"/>
    <mergeCell ref="A5:B5"/>
    <mergeCell ref="D5:E5"/>
    <mergeCell ref="F5:G5"/>
    <mergeCell ref="A1:K1"/>
    <mergeCell ref="A2:B2"/>
    <mergeCell ref="C2:F2"/>
    <mergeCell ref="H2:I2"/>
    <mergeCell ref="A3:B3"/>
    <mergeCell ref="D3:F3"/>
    <mergeCell ref="H3:I3"/>
  </mergeCells>
  <phoneticPr fontId="6" type="noConversion"/>
  <pageMargins left="0.39370078740157483" right="0.39370078740157483" top="0.78740157480314965" bottom="0.39370078740157483" header="0" footer="0"/>
  <pageSetup paperSize="9" scale="93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>
    <tabColor rgb="FFFFFF00"/>
  </sheetPr>
  <dimension ref="A1:V533"/>
  <sheetViews>
    <sheetView showZeros="0" view="pageBreakPreview" zoomScaleNormal="100" zoomScaleSheetLayoutView="100" workbookViewId="0">
      <pane xSplit="1" ySplit="6" topLeftCell="B7" activePane="bottomRight" state="frozen"/>
      <selection activeCell="C25" sqref="C25"/>
      <selection pane="topRight" activeCell="C25" sqref="C25"/>
      <selection pane="bottomLeft" activeCell="C25" sqref="C25"/>
      <selection pane="bottomRight" activeCell="H23" sqref="H23"/>
    </sheetView>
  </sheetViews>
  <sheetFormatPr defaultColWidth="9.375" defaultRowHeight="10.8"/>
  <cols>
    <col min="1" max="1" width="4" style="20" bestFit="1" customWidth="1"/>
    <col min="2" max="2" width="13.375" style="20" customWidth="1"/>
    <col min="3" max="3" width="16.5" style="20" customWidth="1"/>
    <col min="4" max="4" width="13.375" style="28" bestFit="1" customWidth="1"/>
    <col min="5" max="5" width="6" style="28" bestFit="1" customWidth="1"/>
    <col min="6" max="7" width="8" style="20" bestFit="1" customWidth="1"/>
    <col min="8" max="8" width="10" style="20" bestFit="1" customWidth="1"/>
    <col min="9" max="10" width="9" style="20" bestFit="1" customWidth="1"/>
    <col min="11" max="11" width="29" style="20" customWidth="1"/>
    <col min="12" max="12" width="11" style="20" bestFit="1" customWidth="1"/>
    <col min="13" max="13" width="31.375" style="20" customWidth="1"/>
    <col min="14" max="16384" width="9.375" style="20"/>
  </cols>
  <sheetData>
    <row r="1" spans="1:22" ht="26.25" customHeight="1">
      <c r="A1" s="142" t="s">
        <v>24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</row>
    <row r="2" spans="1:22">
      <c r="A2" s="135" t="s">
        <v>7</v>
      </c>
      <c r="B2" s="136"/>
      <c r="C2" s="143" t="str">
        <f>시스템정보!B2</f>
        <v>일대일거래APP</v>
      </c>
      <c r="D2" s="144"/>
      <c r="E2" s="144"/>
      <c r="F2" s="145"/>
      <c r="G2" s="96" t="s">
        <v>9</v>
      </c>
      <c r="H2" s="146" t="s">
        <v>247</v>
      </c>
      <c r="I2" s="147"/>
      <c r="J2" s="96" t="s">
        <v>11</v>
      </c>
      <c r="K2" s="59" t="s">
        <v>662</v>
      </c>
    </row>
    <row r="3" spans="1:22" ht="13.2">
      <c r="A3" s="135" t="s">
        <v>8</v>
      </c>
      <c r="B3" s="136"/>
      <c r="C3" s="32" t="s">
        <v>739</v>
      </c>
      <c r="D3" s="146" t="s">
        <v>738</v>
      </c>
      <c r="E3" s="148"/>
      <c r="F3" s="147"/>
      <c r="G3" s="96" t="s">
        <v>10</v>
      </c>
      <c r="H3" s="146" t="s">
        <v>247</v>
      </c>
      <c r="I3" s="147"/>
      <c r="J3" s="96" t="s">
        <v>18</v>
      </c>
      <c r="K3" s="59" t="s">
        <v>662</v>
      </c>
      <c r="M3" s="22"/>
    </row>
    <row r="4" spans="1:22" ht="13.2">
      <c r="A4" s="135" t="s">
        <v>6</v>
      </c>
      <c r="B4" s="136"/>
      <c r="C4" s="137" t="s">
        <v>740</v>
      </c>
      <c r="D4" s="137"/>
      <c r="E4" s="137"/>
      <c r="F4" s="137"/>
      <c r="G4" s="137"/>
      <c r="H4" s="137"/>
      <c r="I4" s="137"/>
      <c r="J4" s="137"/>
      <c r="K4" s="137"/>
      <c r="M4" s="22" t="str">
        <f>"DROP TABLE "&amp; $C$3 &amp;";"</f>
        <v>DROP TABLE Display;</v>
      </c>
    </row>
    <row r="5" spans="1:22" ht="13.2">
      <c r="A5" s="138" t="s">
        <v>136</v>
      </c>
      <c r="B5" s="139"/>
      <c r="C5" s="97" t="s">
        <v>248</v>
      </c>
      <c r="D5" s="138" t="s">
        <v>135</v>
      </c>
      <c r="E5" s="140"/>
      <c r="F5" s="141" t="s">
        <v>664</v>
      </c>
      <c r="G5" s="140"/>
      <c r="H5" s="96" t="s">
        <v>273</v>
      </c>
      <c r="I5" s="97" t="s">
        <v>138</v>
      </c>
      <c r="J5" s="97"/>
      <c r="K5" s="97"/>
      <c r="M5" s="22"/>
    </row>
    <row r="6" spans="1:22">
      <c r="A6" s="96" t="s">
        <v>1</v>
      </c>
      <c r="B6" s="96" t="s">
        <v>12</v>
      </c>
      <c r="C6" s="96" t="s">
        <v>13</v>
      </c>
      <c r="D6" s="96" t="s">
        <v>14</v>
      </c>
      <c r="E6" s="96" t="s">
        <v>15</v>
      </c>
      <c r="F6" s="96" t="s">
        <v>16</v>
      </c>
      <c r="G6" s="96" t="s">
        <v>26</v>
      </c>
      <c r="H6" s="96" t="s">
        <v>25</v>
      </c>
      <c r="I6" s="96" t="s">
        <v>17</v>
      </c>
      <c r="J6" s="96" t="s">
        <v>274</v>
      </c>
      <c r="K6" s="96" t="s">
        <v>6</v>
      </c>
      <c r="M6" s="23" t="str">
        <f>"CREATE TABLE " &amp; $C$3 &amp; " ("</f>
        <v>CREATE TABLE Display (</v>
      </c>
      <c r="V6" s="23" t="str">
        <f>LEFT(UPPER($C$3)&amp;REPT(" ",30),30)
&amp;LEFT(SUBSTITUTE(LOWER(MID(SUBSTITUTE(PROPER($C$3),"_",""),1,1))&amp;MID(SUBSTITUTE(PROPER($C$3),"_",""),2,LEN(SUBSTITUTE(PROPER($C$3),"_",""))),"tb","")&amp;REPT(" ",30),30)
&amp;LEFT($D$3&amp;REPT(" ",30),30)</f>
        <v xml:space="preserve">DISPLAY                       display                       진열                            </v>
      </c>
    </row>
    <row r="7" spans="1:22">
      <c r="A7" s="59">
        <v>1</v>
      </c>
      <c r="B7" s="2" t="s">
        <v>695</v>
      </c>
      <c r="C7" s="2" t="s">
        <v>665</v>
      </c>
      <c r="D7" s="17" t="s">
        <v>275</v>
      </c>
      <c r="E7" s="39">
        <v>256</v>
      </c>
      <c r="F7" s="40"/>
      <c r="G7" s="38"/>
      <c r="H7" s="42"/>
      <c r="I7" s="41"/>
      <c r="J7" s="38"/>
      <c r="K7" s="43"/>
      <c r="M7" s="23" t="str">
        <f>REPT(" ",13)&amp;IF(ISBLANK($B7),"--"&amp;$A7,
LEFT(SUBSTITUTE($B7," ","*")&amp;REPT("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       storeNumber                   VARCHAR(256)                                                ,</v>
      </c>
      <c r="V7" s="23" t="str">
        <f>REPT(" ",6)&amp;
IF(ISBLANK($B7),"--"&amp;UPPER($A7),LEFT(SUBSTITUTE(UPPER($B7)," ","*")&amp;REPT(" ",30),30)&amp;
LEFT("AS " &amp; LOWER(MID(SUBSTITUTE(PROPER($B7),"_",""),1,1))&amp;MID(SUBSTITUTE(PROPER($B7),"_",""),2,LEN(SUBSTITUTE(PROPER($B7),"_","")))&amp;REPT(" ",30),30)&amp;
LEFT(IF(ISBLANK($C7),"/**/","/* "&amp;$C7)&amp;" */"&amp;REPT(" ",30),30))</f>
        <v xml:space="preserve">      STORENUMBER                   AS storenumber                /* 상점번호 */                    </v>
      </c>
    </row>
    <row r="8" spans="1:22">
      <c r="A8" s="59">
        <v>2</v>
      </c>
      <c r="B8" s="2" t="s">
        <v>696</v>
      </c>
      <c r="C8" s="2" t="s">
        <v>666</v>
      </c>
      <c r="D8" s="17" t="s">
        <v>275</v>
      </c>
      <c r="E8" s="33">
        <v>256</v>
      </c>
      <c r="F8" s="39"/>
      <c r="G8" s="44"/>
      <c r="H8" s="38"/>
      <c r="I8" s="41"/>
      <c r="J8" s="38"/>
      <c r="K8" s="43" t="s">
        <v>683</v>
      </c>
      <c r="M8" s="23" t="str">
        <f t="shared" ref="M8:M71" si="0">REPT(" ",13)&amp;IF(ISBLANK($B8),"--"&amp;$A8,
LEFT(SUBSTITUTE($B8," ","*")&amp;REPT(" ",30),30)&amp;
LEFT(IF(ISBLANK($D8),"",IF(OR(UPPER($D8)="DATE",UPPER($D8)="CLOB",UPPER($D8)="BLOB",UPPER($D8)="LONG",UPPER($D8)="TIMESTAMP"),UPPER($D8),IF(ISBLANK($E8),UPPER($D8),UPPER($D8)&amp;"("&amp;$E8&amp;")")))&amp;REPT(" ",15),15)&amp;
LEFT(IF(ISBLANK($F8),"","DEFAULT  "&amp;$F8)&amp;REPT(" ",19),19)&amp;
LEFT(IF(ISBLANK($J8),""," identity(" &amp; $J8 &amp; ") ")&amp;REPT(" ",17),17)&amp;
LEFT(IF(ISBLANK($H8),""," NOT NULL")&amp;REPT(" ",9),9)&amp;
IF(AND(ISBLANK(G$7),ISBLANK($B9)),"",","))</f>
        <v xml:space="preserve">             storeName                     VARCHAR(256)                                                ,</v>
      </c>
      <c r="V8" s="23" t="str">
        <f t="shared" ref="V8:V71" si="1">REPT(" ",6)&amp;
IF(ISBLANK($B8),"--"&amp;UPPER($A8),LEFT(SUBSTITUTE(UPPER($B8)," ","*")&amp;REPT(" ",30),30)&amp;
LEFT("AS " &amp; LOWER(MID(SUBSTITUTE(PROPER($B8),"_",""),1,1))&amp;MID(SUBSTITUTE(PROPER($B8),"_",""),2,LEN(SUBSTITUTE(PROPER($B8),"_","")))&amp;REPT(" ",30),30)&amp;
LEFT(IF(ISBLANK($C8),"/**/","/* "&amp;$C8)&amp;" */"&amp;REPT(" ",30),30))</f>
        <v xml:space="preserve">      STORENAME                     AS storename                  /* 상점명 */                     </v>
      </c>
    </row>
    <row r="9" spans="1:22">
      <c r="A9" s="59">
        <v>3</v>
      </c>
      <c r="B9" s="2" t="s">
        <v>697</v>
      </c>
      <c r="C9" s="2" t="s">
        <v>667</v>
      </c>
      <c r="D9" s="17" t="s">
        <v>275</v>
      </c>
      <c r="E9" s="33">
        <v>256</v>
      </c>
      <c r="F9" s="39"/>
      <c r="G9" s="44"/>
      <c r="H9" s="38"/>
      <c r="I9" s="41"/>
      <c r="J9" s="41"/>
      <c r="K9" s="43" t="s">
        <v>683</v>
      </c>
      <c r="M9" s="23" t="str">
        <f t="shared" si="0"/>
        <v xml:space="preserve">             sellerName                    VARCHAR(256)                                                ,</v>
      </c>
      <c r="V9" s="23" t="str">
        <f t="shared" si="1"/>
        <v xml:space="preserve">      SELLERNAME                    AS sellername                 /* 판매자명 */                    </v>
      </c>
    </row>
    <row r="10" spans="1:22">
      <c r="A10" s="59">
        <v>4</v>
      </c>
      <c r="B10" s="92" t="s">
        <v>678</v>
      </c>
      <c r="C10" s="92" t="s">
        <v>668</v>
      </c>
      <c r="D10" s="17" t="s">
        <v>275</v>
      </c>
      <c r="E10" s="33">
        <v>256</v>
      </c>
      <c r="F10" s="33"/>
      <c r="G10" s="33"/>
      <c r="H10" s="33"/>
      <c r="I10" s="35"/>
      <c r="J10" s="35"/>
      <c r="K10" s="43" t="s">
        <v>683</v>
      </c>
      <c r="M10" s="23" t="str">
        <f t="shared" si="0"/>
        <v xml:space="preserve">             nickName                      VARCHAR(256)                                                ,</v>
      </c>
      <c r="V10" s="23" t="str">
        <f t="shared" si="1"/>
        <v xml:space="preserve">      NICKNAME                      AS nickname                   /* 별명 */                      </v>
      </c>
    </row>
    <row r="11" spans="1:22">
      <c r="A11" s="59">
        <v>5</v>
      </c>
      <c r="B11" s="91" t="s">
        <v>698</v>
      </c>
      <c r="C11" s="91" t="s">
        <v>276</v>
      </c>
      <c r="D11" s="17" t="s">
        <v>275</v>
      </c>
      <c r="E11" s="33">
        <v>256</v>
      </c>
      <c r="F11" s="35"/>
      <c r="G11" s="33"/>
      <c r="H11" s="33"/>
      <c r="I11" s="35"/>
      <c r="J11" s="35"/>
      <c r="K11" s="43" t="s">
        <v>683</v>
      </c>
      <c r="M11" s="23" t="str">
        <f t="shared" si="0"/>
        <v xml:space="preserve">             phoneNumber                   VARCHAR(256)                                                ,</v>
      </c>
      <c r="V11" s="23" t="str">
        <f t="shared" si="1"/>
        <v xml:space="preserve">      PHONENUMBER                   AS phonenumber                /* 전화번호 */                    </v>
      </c>
    </row>
    <row r="12" spans="1:22">
      <c r="A12" s="59">
        <v>6</v>
      </c>
      <c r="B12" s="91" t="s">
        <v>699</v>
      </c>
      <c r="C12" s="91" t="s">
        <v>669</v>
      </c>
      <c r="D12" s="17" t="s">
        <v>275</v>
      </c>
      <c r="E12" s="33">
        <v>256</v>
      </c>
      <c r="F12" s="33"/>
      <c r="G12" s="33"/>
      <c r="H12" s="33"/>
      <c r="I12" s="35"/>
      <c r="J12" s="35"/>
      <c r="K12" s="43" t="s">
        <v>683</v>
      </c>
      <c r="M12" s="23" t="str">
        <f t="shared" si="0"/>
        <v xml:space="preserve">             emailAddress                  VARCHAR(256)                                                ,</v>
      </c>
      <c r="V12" s="23" t="str">
        <f t="shared" si="1"/>
        <v xml:space="preserve">      EMAILADDRESS                  AS emailaddress               /* 이메일주소 */                   </v>
      </c>
    </row>
    <row r="13" spans="1:22">
      <c r="A13" s="59">
        <v>7</v>
      </c>
      <c r="B13" s="91" t="s">
        <v>690</v>
      </c>
      <c r="C13" s="91" t="s">
        <v>701</v>
      </c>
      <c r="D13" s="17" t="s">
        <v>275</v>
      </c>
      <c r="E13" s="33">
        <v>256</v>
      </c>
      <c r="F13" s="35"/>
      <c r="G13" s="33"/>
      <c r="H13" s="33"/>
      <c r="I13" s="35"/>
      <c r="J13" s="35"/>
      <c r="K13" s="43" t="s">
        <v>683</v>
      </c>
      <c r="M13" s="23" t="str">
        <f t="shared" si="0"/>
        <v xml:space="preserve">             zipCode                       VARCHAR(256)                                                ,</v>
      </c>
      <c r="V13" s="23" t="str">
        <f t="shared" si="1"/>
        <v xml:space="preserve">      ZIPCODE                       AS zipcode                    /* 우편번호(지번) */                </v>
      </c>
    </row>
    <row r="14" spans="1:22" ht="21.6">
      <c r="A14" s="59">
        <v>8</v>
      </c>
      <c r="B14" s="91" t="s">
        <v>700</v>
      </c>
      <c r="C14" s="91" t="s">
        <v>702</v>
      </c>
      <c r="D14" s="17" t="s">
        <v>275</v>
      </c>
      <c r="E14" s="33">
        <v>256</v>
      </c>
      <c r="F14" s="33"/>
      <c r="G14" s="33"/>
      <c r="H14" s="33"/>
      <c r="I14" s="35"/>
      <c r="J14" s="35"/>
      <c r="K14" s="43" t="s">
        <v>683</v>
      </c>
      <c r="M14" s="23" t="str">
        <f t="shared" si="0"/>
        <v xml:space="preserve">             postalCode                    VARCHAR(256)                                                ,</v>
      </c>
      <c r="V14" s="23" t="str">
        <f t="shared" si="1"/>
        <v xml:space="preserve">      POSTALCODE                    AS postalcode                 /* 우편번호(도로명) */               </v>
      </c>
    </row>
    <row r="15" spans="1:22">
      <c r="A15" s="59">
        <v>9</v>
      </c>
      <c r="B15" s="91" t="s">
        <v>691</v>
      </c>
      <c r="C15" s="91" t="s">
        <v>689</v>
      </c>
      <c r="D15" s="17" t="s">
        <v>275</v>
      </c>
      <c r="E15" s="33">
        <v>256</v>
      </c>
      <c r="F15" s="33"/>
      <c r="G15" s="33"/>
      <c r="H15" s="33"/>
      <c r="I15" s="35"/>
      <c r="J15" s="35"/>
      <c r="K15" s="43" t="s">
        <v>683</v>
      </c>
      <c r="M15" s="23" t="str">
        <f t="shared" si="0"/>
        <v xml:space="preserve">             baseAddress                   VARCHAR(256)                                                ,</v>
      </c>
      <c r="V15" s="23" t="str">
        <f t="shared" si="1"/>
        <v xml:space="preserve">      BASEADDRESS                   AS baseaddress                /* 기본주소 */                    </v>
      </c>
    </row>
    <row r="16" spans="1:22" ht="21.6">
      <c r="A16" s="59">
        <v>10</v>
      </c>
      <c r="B16" s="91" t="s">
        <v>692</v>
      </c>
      <c r="C16" s="91" t="s">
        <v>694</v>
      </c>
      <c r="D16" s="17" t="s">
        <v>275</v>
      </c>
      <c r="E16" s="33">
        <v>256</v>
      </c>
      <c r="F16" s="35"/>
      <c r="G16" s="33"/>
      <c r="H16" s="33"/>
      <c r="I16" s="35"/>
      <c r="J16" s="35"/>
      <c r="K16" s="43" t="s">
        <v>693</v>
      </c>
      <c r="M16" s="23" t="str">
        <f t="shared" si="0"/>
        <v xml:space="preserve">             availableArea                 VARCHAR(256)                                                ,</v>
      </c>
      <c r="V16" s="23" t="str">
        <f t="shared" si="1"/>
        <v xml:space="preserve">      AVAILABLEAREA                 AS availablearea              /* 판매가능지역 */                  </v>
      </c>
    </row>
    <row r="17" spans="1:22">
      <c r="A17" s="59">
        <v>11</v>
      </c>
      <c r="B17" s="92" t="s">
        <v>709</v>
      </c>
      <c r="C17" s="92" t="s">
        <v>741</v>
      </c>
      <c r="D17" s="17" t="s">
        <v>275</v>
      </c>
      <c r="E17" s="33">
        <v>256</v>
      </c>
      <c r="F17" s="33"/>
      <c r="G17" s="33"/>
      <c r="H17" s="33"/>
      <c r="I17" s="35"/>
      <c r="J17" s="35"/>
      <c r="K17" s="43" t="s">
        <v>711</v>
      </c>
      <c r="M17" s="23" t="str">
        <f t="shared" si="0"/>
        <v xml:space="preserve">             useAt                         VARCHAR(256)                                                ,</v>
      </c>
      <c r="V17" s="23" t="str">
        <f t="shared" si="1"/>
        <v xml:space="preserve">      USEAT                         AS useat                      /* 진열아이디 */                   </v>
      </c>
    </row>
    <row r="18" spans="1:22">
      <c r="A18" s="59">
        <v>12</v>
      </c>
      <c r="B18" s="91" t="s">
        <v>710</v>
      </c>
      <c r="C18" s="91" t="s">
        <v>708</v>
      </c>
      <c r="D18" s="17" t="s">
        <v>275</v>
      </c>
      <c r="E18" s="33">
        <v>256</v>
      </c>
      <c r="F18" s="35"/>
      <c r="G18" s="33"/>
      <c r="H18" s="33"/>
      <c r="I18" s="35"/>
      <c r="J18" s="35"/>
      <c r="K18" s="43" t="s">
        <v>711</v>
      </c>
      <c r="M18" s="23" t="str">
        <f t="shared" si="0"/>
        <v xml:space="preserve">             delAt                         VARCHAR(256)                                                ,</v>
      </c>
      <c r="V18" s="23" t="str">
        <f t="shared" si="1"/>
        <v xml:space="preserve">      DELAT                         AS delat                      /* 삭제여부 */                    </v>
      </c>
    </row>
    <row r="19" spans="1:22">
      <c r="A19" s="59">
        <v>13</v>
      </c>
      <c r="B19" s="92" t="s">
        <v>671</v>
      </c>
      <c r="C19" s="92" t="s">
        <v>635</v>
      </c>
      <c r="D19" s="17" t="s">
        <v>275</v>
      </c>
      <c r="E19" s="33">
        <v>256</v>
      </c>
      <c r="F19" s="33"/>
      <c r="G19" s="33"/>
      <c r="H19" s="33"/>
      <c r="I19" s="35"/>
      <c r="J19" s="35"/>
      <c r="K19" s="43"/>
      <c r="M19" s="23" t="str">
        <f t="shared" si="0"/>
        <v xml:space="preserve">             createId                      VARCHAR(256)                                                ,</v>
      </c>
      <c r="V19" s="23" t="str">
        <f t="shared" si="1"/>
        <v xml:space="preserve">      CREATEID                      AS createid                   /* 생성자 */                     </v>
      </c>
    </row>
    <row r="20" spans="1:22">
      <c r="A20" s="59">
        <v>14</v>
      </c>
      <c r="B20" s="91" t="s">
        <v>674</v>
      </c>
      <c r="C20" s="91" t="s">
        <v>636</v>
      </c>
      <c r="D20" s="17" t="s">
        <v>275</v>
      </c>
      <c r="E20" s="33">
        <v>256</v>
      </c>
      <c r="F20" s="35"/>
      <c r="G20" s="33"/>
      <c r="H20" s="33"/>
      <c r="I20" s="35"/>
      <c r="J20" s="35"/>
      <c r="K20" s="43"/>
      <c r="M20" s="23" t="str">
        <f t="shared" si="0"/>
        <v xml:space="preserve">             createDate                    VARCHAR(256)                                                ,</v>
      </c>
      <c r="V20" s="23" t="str">
        <f t="shared" si="1"/>
        <v xml:space="preserve">      CREATEDATE                    AS createdate                 /* 생성 일시 */                   </v>
      </c>
    </row>
    <row r="21" spans="1:22">
      <c r="A21" s="59">
        <v>15</v>
      </c>
      <c r="B21" s="91" t="s">
        <v>672</v>
      </c>
      <c r="C21" s="91" t="s">
        <v>682</v>
      </c>
      <c r="D21" s="33" t="s">
        <v>275</v>
      </c>
      <c r="E21" s="33">
        <v>256</v>
      </c>
      <c r="F21" s="33"/>
      <c r="G21" s="33"/>
      <c r="H21" s="33"/>
      <c r="I21" s="35"/>
      <c r="J21" s="35"/>
      <c r="K21" s="90"/>
      <c r="M21" s="23" t="str">
        <f t="shared" si="0"/>
        <v xml:space="preserve">             updateId                      VARCHAR(256)                                                ,</v>
      </c>
      <c r="V21" s="23" t="str">
        <f t="shared" si="1"/>
        <v xml:space="preserve">      UPDATEID                      AS updateid                   /* 수정자 */                     </v>
      </c>
    </row>
    <row r="22" spans="1:22">
      <c r="A22" s="59">
        <v>16</v>
      </c>
      <c r="B22" s="91" t="s">
        <v>673</v>
      </c>
      <c r="C22" s="91" t="s">
        <v>637</v>
      </c>
      <c r="D22" s="17" t="s">
        <v>275</v>
      </c>
      <c r="E22" s="33">
        <v>256</v>
      </c>
      <c r="F22" s="35"/>
      <c r="G22" s="33"/>
      <c r="H22" s="33"/>
      <c r="I22" s="35"/>
      <c r="J22" s="35"/>
      <c r="K22" s="90"/>
      <c r="M22" s="23" t="str">
        <f t="shared" si="0"/>
        <v xml:space="preserve">             updateDate                    VARCHAR(256)                                                </v>
      </c>
      <c r="V22" s="23" t="str">
        <f t="shared" si="1"/>
        <v xml:space="preserve">      UPDATEDATE                    AS updatedate                 /* 갱신 일시 */                   </v>
      </c>
    </row>
    <row r="23" spans="1:22">
      <c r="A23" s="59">
        <v>17</v>
      </c>
      <c r="B23" s="91"/>
      <c r="C23" s="91"/>
      <c r="D23" s="33"/>
      <c r="E23" s="33"/>
      <c r="F23" s="35"/>
      <c r="G23" s="33"/>
      <c r="H23" s="33"/>
      <c r="I23" s="35"/>
      <c r="J23" s="35"/>
      <c r="K23" s="90"/>
      <c r="M23" s="23" t="str">
        <f t="shared" si="0"/>
        <v xml:space="preserve">             --17</v>
      </c>
      <c r="V23" s="23" t="str">
        <f t="shared" si="1"/>
        <v xml:space="preserve">      --17</v>
      </c>
    </row>
    <row r="24" spans="1:22">
      <c r="A24" s="59">
        <v>18</v>
      </c>
      <c r="B24" s="91"/>
      <c r="C24" s="91"/>
      <c r="D24" s="33"/>
      <c r="E24" s="33"/>
      <c r="F24" s="33"/>
      <c r="G24" s="33"/>
      <c r="H24" s="33"/>
      <c r="I24" s="35"/>
      <c r="J24" s="35"/>
      <c r="K24" s="90"/>
      <c r="M24" s="23" t="str">
        <f t="shared" si="0"/>
        <v xml:space="preserve">             --18</v>
      </c>
      <c r="V24" s="23" t="str">
        <f t="shared" si="1"/>
        <v xml:space="preserve">      --18</v>
      </c>
    </row>
    <row r="25" spans="1:22">
      <c r="A25" s="59">
        <v>19</v>
      </c>
      <c r="B25" s="91"/>
      <c r="C25" s="2"/>
      <c r="D25" s="38"/>
      <c r="E25" s="39"/>
      <c r="F25" s="33"/>
      <c r="G25" s="33"/>
      <c r="H25" s="33"/>
      <c r="I25" s="93"/>
      <c r="J25" s="93"/>
      <c r="K25" s="19"/>
      <c r="M25" s="23" t="str">
        <f t="shared" si="0"/>
        <v xml:space="preserve">             --19</v>
      </c>
      <c r="V25" s="23" t="str">
        <f t="shared" si="1"/>
        <v xml:space="preserve">      --19</v>
      </c>
    </row>
    <row r="26" spans="1:22">
      <c r="A26" s="59">
        <v>20</v>
      </c>
      <c r="B26" s="92"/>
      <c r="C26" s="92"/>
      <c r="D26" s="33"/>
      <c r="E26" s="33"/>
      <c r="F26" s="33"/>
      <c r="G26" s="33"/>
      <c r="H26" s="33"/>
      <c r="I26" s="93"/>
      <c r="J26" s="93"/>
      <c r="K26" s="19"/>
      <c r="M26" s="23" t="str">
        <f t="shared" si="0"/>
        <v xml:space="preserve">             --20</v>
      </c>
      <c r="V26" s="23" t="str">
        <f t="shared" si="1"/>
        <v xml:space="preserve">      --20</v>
      </c>
    </row>
    <row r="27" spans="1:22">
      <c r="A27" s="59">
        <v>21</v>
      </c>
      <c r="B27" s="91"/>
      <c r="C27" s="91"/>
      <c r="D27" s="33"/>
      <c r="E27" s="33"/>
      <c r="F27" s="33"/>
      <c r="G27" s="33"/>
      <c r="H27" s="33"/>
      <c r="I27" s="35"/>
      <c r="J27" s="35"/>
      <c r="K27" s="90"/>
      <c r="M27" s="23" t="str">
        <f t="shared" si="0"/>
        <v xml:space="preserve">             --21</v>
      </c>
      <c r="V27" s="23" t="str">
        <f t="shared" si="1"/>
        <v xml:space="preserve">      --21</v>
      </c>
    </row>
    <row r="28" spans="1:22">
      <c r="A28" s="59">
        <v>22</v>
      </c>
      <c r="B28" s="91"/>
      <c r="C28" s="91"/>
      <c r="D28" s="33"/>
      <c r="E28" s="33"/>
      <c r="F28" s="33"/>
      <c r="G28" s="33"/>
      <c r="H28" s="33"/>
      <c r="I28" s="35"/>
      <c r="J28" s="35"/>
      <c r="K28" s="90"/>
      <c r="M28" s="23" t="str">
        <f t="shared" si="0"/>
        <v xml:space="preserve">             --22</v>
      </c>
      <c r="V28" s="23" t="str">
        <f t="shared" si="1"/>
        <v xml:space="preserve">      --22</v>
      </c>
    </row>
    <row r="29" spans="1:22">
      <c r="A29" s="59">
        <v>23</v>
      </c>
      <c r="B29" s="91"/>
      <c r="C29" s="91"/>
      <c r="D29" s="33"/>
      <c r="E29" s="33"/>
      <c r="F29" s="33"/>
      <c r="G29" s="33"/>
      <c r="H29" s="33"/>
      <c r="I29" s="35"/>
      <c r="J29" s="35"/>
      <c r="K29" s="90"/>
      <c r="M29" s="23" t="str">
        <f t="shared" si="0"/>
        <v xml:space="preserve">             --23</v>
      </c>
      <c r="V29" s="23" t="str">
        <f t="shared" si="1"/>
        <v xml:space="preserve">      --23</v>
      </c>
    </row>
    <row r="30" spans="1:22">
      <c r="A30" s="59">
        <v>24</v>
      </c>
      <c r="B30" s="91"/>
      <c r="C30" s="91"/>
      <c r="D30" s="33"/>
      <c r="E30" s="33"/>
      <c r="F30" s="35"/>
      <c r="G30" s="33"/>
      <c r="H30" s="33"/>
      <c r="I30" s="35"/>
      <c r="J30" s="35"/>
      <c r="K30" s="90"/>
      <c r="M30" s="23" t="str">
        <f t="shared" si="0"/>
        <v xml:space="preserve">             --24</v>
      </c>
      <c r="V30" s="23" t="str">
        <f t="shared" si="1"/>
        <v xml:space="preserve">      --24</v>
      </c>
    </row>
    <row r="31" spans="1:22">
      <c r="A31" s="59">
        <v>25</v>
      </c>
      <c r="B31" s="91"/>
      <c r="C31" s="91"/>
      <c r="D31" s="33"/>
      <c r="E31" s="33"/>
      <c r="F31" s="33"/>
      <c r="G31" s="33"/>
      <c r="H31" s="33"/>
      <c r="I31" s="35"/>
      <c r="J31" s="35"/>
      <c r="K31" s="90"/>
      <c r="M31" s="23" t="str">
        <f t="shared" si="0"/>
        <v xml:space="preserve">             --25</v>
      </c>
      <c r="V31" s="23" t="str">
        <f t="shared" si="1"/>
        <v xml:space="preserve">      --25</v>
      </c>
    </row>
    <row r="32" spans="1:22">
      <c r="A32" s="59">
        <v>26</v>
      </c>
      <c r="B32" s="91"/>
      <c r="C32" s="2"/>
      <c r="D32" s="38"/>
      <c r="E32" s="39"/>
      <c r="F32" s="33"/>
      <c r="G32" s="33"/>
      <c r="H32" s="33"/>
      <c r="I32" s="93"/>
      <c r="J32" s="93"/>
      <c r="K32" s="19"/>
      <c r="M32" s="23" t="str">
        <f t="shared" si="0"/>
        <v xml:space="preserve">             --26</v>
      </c>
      <c r="V32" s="23" t="str">
        <f t="shared" si="1"/>
        <v xml:space="preserve">      --26</v>
      </c>
    </row>
    <row r="33" spans="1:22">
      <c r="A33" s="59">
        <v>27</v>
      </c>
      <c r="B33" s="92"/>
      <c r="C33" s="92"/>
      <c r="D33" s="33"/>
      <c r="E33" s="33"/>
      <c r="F33" s="33"/>
      <c r="G33" s="33"/>
      <c r="H33" s="33"/>
      <c r="I33" s="93"/>
      <c r="J33" s="93"/>
      <c r="K33" s="19"/>
      <c r="M33" s="23" t="str">
        <f t="shared" si="0"/>
        <v xml:space="preserve">             --27</v>
      </c>
      <c r="V33" s="23" t="str">
        <f t="shared" si="1"/>
        <v xml:space="preserve">      --27</v>
      </c>
    </row>
    <row r="34" spans="1:22">
      <c r="A34" s="59">
        <v>28</v>
      </c>
      <c r="B34" s="91"/>
      <c r="C34" s="91"/>
      <c r="D34" s="33"/>
      <c r="E34" s="33"/>
      <c r="F34" s="33"/>
      <c r="G34" s="33"/>
      <c r="H34" s="33"/>
      <c r="I34" s="35"/>
      <c r="J34" s="35"/>
      <c r="K34" s="90"/>
      <c r="M34" s="23" t="str">
        <f t="shared" si="0"/>
        <v xml:space="preserve">             --28</v>
      </c>
      <c r="V34" s="23" t="str">
        <f t="shared" si="1"/>
        <v xml:space="preserve">      --28</v>
      </c>
    </row>
    <row r="35" spans="1:22">
      <c r="A35" s="59">
        <v>29</v>
      </c>
      <c r="B35" s="91"/>
      <c r="C35" s="91"/>
      <c r="D35" s="33"/>
      <c r="E35" s="33"/>
      <c r="F35" s="33"/>
      <c r="G35" s="33"/>
      <c r="H35" s="33"/>
      <c r="I35" s="35"/>
      <c r="J35" s="35"/>
      <c r="K35" s="90"/>
      <c r="M35" s="23" t="str">
        <f t="shared" si="0"/>
        <v xml:space="preserve">             --29</v>
      </c>
      <c r="V35" s="23" t="str">
        <f t="shared" si="1"/>
        <v xml:space="preserve">      --29</v>
      </c>
    </row>
    <row r="36" spans="1:22">
      <c r="A36" s="59">
        <v>30</v>
      </c>
      <c r="B36" s="91"/>
      <c r="C36" s="91"/>
      <c r="D36" s="33"/>
      <c r="E36" s="33"/>
      <c r="F36" s="33"/>
      <c r="G36" s="33"/>
      <c r="H36" s="33"/>
      <c r="I36" s="35"/>
      <c r="J36" s="35"/>
      <c r="K36" s="90"/>
      <c r="M36" s="23" t="str">
        <f t="shared" si="0"/>
        <v xml:space="preserve">             --30</v>
      </c>
      <c r="V36" s="23" t="str">
        <f t="shared" si="1"/>
        <v xml:space="preserve">      --30</v>
      </c>
    </row>
    <row r="37" spans="1:22">
      <c r="A37" s="59">
        <v>31</v>
      </c>
      <c r="B37" s="91"/>
      <c r="C37" s="91"/>
      <c r="D37" s="33"/>
      <c r="E37" s="33"/>
      <c r="F37" s="35"/>
      <c r="G37" s="33"/>
      <c r="H37" s="33"/>
      <c r="I37" s="35"/>
      <c r="J37" s="35"/>
      <c r="K37" s="90"/>
      <c r="M37" s="23" t="str">
        <f t="shared" si="0"/>
        <v xml:space="preserve">             --31</v>
      </c>
      <c r="V37" s="23" t="str">
        <f t="shared" si="1"/>
        <v xml:space="preserve">      --31</v>
      </c>
    </row>
    <row r="38" spans="1:22">
      <c r="A38" s="59">
        <v>32</v>
      </c>
      <c r="B38" s="91"/>
      <c r="C38" s="91"/>
      <c r="D38" s="33"/>
      <c r="E38" s="33"/>
      <c r="F38" s="33"/>
      <c r="G38" s="33"/>
      <c r="H38" s="33"/>
      <c r="I38" s="35"/>
      <c r="J38" s="35"/>
      <c r="K38" s="90"/>
      <c r="M38" s="23" t="str">
        <f t="shared" si="0"/>
        <v xml:space="preserve">             --32</v>
      </c>
      <c r="V38" s="23" t="str">
        <f t="shared" si="1"/>
        <v xml:space="preserve">      --32</v>
      </c>
    </row>
    <row r="39" spans="1:22">
      <c r="A39" s="59">
        <v>33</v>
      </c>
      <c r="B39" s="91"/>
      <c r="C39" s="2"/>
      <c r="D39" s="38"/>
      <c r="E39" s="39"/>
      <c r="F39" s="33"/>
      <c r="G39" s="33"/>
      <c r="H39" s="33"/>
      <c r="I39" s="93"/>
      <c r="J39" s="93"/>
      <c r="K39" s="19"/>
      <c r="M39" s="23" t="str">
        <f t="shared" si="0"/>
        <v xml:space="preserve">             --33</v>
      </c>
      <c r="V39" s="23" t="str">
        <f t="shared" si="1"/>
        <v xml:space="preserve">      --33</v>
      </c>
    </row>
    <row r="40" spans="1:22">
      <c r="A40" s="59">
        <v>34</v>
      </c>
      <c r="B40" s="92"/>
      <c r="C40" s="92"/>
      <c r="D40" s="33"/>
      <c r="E40" s="33"/>
      <c r="F40" s="33"/>
      <c r="G40" s="33"/>
      <c r="H40" s="33"/>
      <c r="I40" s="93"/>
      <c r="J40" s="93"/>
      <c r="K40" s="19"/>
      <c r="M40" s="23" t="str">
        <f t="shared" si="0"/>
        <v xml:space="preserve">             --34</v>
      </c>
      <c r="V40" s="23" t="str">
        <f t="shared" si="1"/>
        <v xml:space="preserve">      --34</v>
      </c>
    </row>
    <row r="41" spans="1:22">
      <c r="A41" s="59">
        <v>35</v>
      </c>
      <c r="B41" s="91"/>
      <c r="C41" s="91"/>
      <c r="D41" s="33"/>
      <c r="E41" s="33"/>
      <c r="F41" s="33"/>
      <c r="G41" s="33"/>
      <c r="H41" s="33"/>
      <c r="I41" s="35"/>
      <c r="J41" s="35"/>
      <c r="K41" s="90"/>
      <c r="M41" s="23" t="str">
        <f t="shared" si="0"/>
        <v xml:space="preserve">             --35</v>
      </c>
      <c r="V41" s="23" t="str">
        <f t="shared" si="1"/>
        <v xml:space="preserve">      --35</v>
      </c>
    </row>
    <row r="42" spans="1:22">
      <c r="A42" s="59">
        <v>36</v>
      </c>
      <c r="B42" s="91"/>
      <c r="C42" s="91"/>
      <c r="D42" s="33"/>
      <c r="E42" s="33"/>
      <c r="F42" s="33"/>
      <c r="G42" s="33"/>
      <c r="H42" s="33"/>
      <c r="I42" s="35"/>
      <c r="J42" s="35"/>
      <c r="K42" s="90"/>
      <c r="M42" s="23" t="str">
        <f t="shared" si="0"/>
        <v xml:space="preserve">             --36</v>
      </c>
      <c r="V42" s="23" t="str">
        <f t="shared" si="1"/>
        <v xml:space="preserve">      --36</v>
      </c>
    </row>
    <row r="43" spans="1:22">
      <c r="A43" s="59">
        <v>37</v>
      </c>
      <c r="B43" s="91"/>
      <c r="C43" s="91"/>
      <c r="D43" s="17"/>
      <c r="E43" s="33"/>
      <c r="F43" s="35"/>
      <c r="G43" s="33"/>
      <c r="H43" s="33"/>
      <c r="I43" s="35"/>
      <c r="J43" s="35"/>
      <c r="K43" s="90"/>
      <c r="M43" s="23" t="str">
        <f t="shared" si="0"/>
        <v xml:space="preserve">             --37</v>
      </c>
      <c r="V43" s="23" t="str">
        <f t="shared" si="1"/>
        <v xml:space="preserve">      --37</v>
      </c>
    </row>
    <row r="44" spans="1:22">
      <c r="A44" s="59">
        <v>38</v>
      </c>
      <c r="B44" s="91"/>
      <c r="C44" s="91"/>
      <c r="D44" s="33"/>
      <c r="E44" s="33"/>
      <c r="F44" s="33"/>
      <c r="G44" s="33"/>
      <c r="H44" s="33"/>
      <c r="I44" s="35"/>
      <c r="J44" s="35"/>
      <c r="K44" s="90"/>
      <c r="M44" s="23" t="str">
        <f t="shared" si="0"/>
        <v xml:space="preserve">             --38</v>
      </c>
      <c r="V44" s="23" t="str">
        <f t="shared" si="1"/>
        <v xml:space="preserve">      --38</v>
      </c>
    </row>
    <row r="45" spans="1:22">
      <c r="A45" s="59">
        <v>39</v>
      </c>
      <c r="B45" s="91"/>
      <c r="C45" s="91"/>
      <c r="D45" s="33"/>
      <c r="E45" s="33"/>
      <c r="F45" s="33"/>
      <c r="G45" s="33"/>
      <c r="H45" s="33"/>
      <c r="I45" s="35"/>
      <c r="J45" s="35"/>
      <c r="K45" s="90"/>
      <c r="M45" s="23" t="str">
        <f t="shared" si="0"/>
        <v xml:space="preserve">             --39</v>
      </c>
      <c r="V45" s="23" t="str">
        <f t="shared" si="1"/>
        <v xml:space="preserve">      --39</v>
      </c>
    </row>
    <row r="46" spans="1:22">
      <c r="A46" s="59">
        <v>40</v>
      </c>
      <c r="B46" s="92"/>
      <c r="C46" s="92"/>
      <c r="D46" s="33"/>
      <c r="E46" s="33"/>
      <c r="F46" s="33"/>
      <c r="G46" s="33"/>
      <c r="H46" s="33"/>
      <c r="I46" s="93"/>
      <c r="J46" s="93"/>
      <c r="K46" s="19"/>
      <c r="M46" s="23" t="str">
        <f t="shared" si="0"/>
        <v xml:space="preserve">             --40</v>
      </c>
      <c r="V46" s="23" t="str">
        <f t="shared" si="1"/>
        <v xml:space="preserve">      --40</v>
      </c>
    </row>
    <row r="47" spans="1:22">
      <c r="A47" s="59">
        <v>41</v>
      </c>
      <c r="B47" s="91"/>
      <c r="C47" s="91"/>
      <c r="D47" s="33"/>
      <c r="E47" s="33"/>
      <c r="F47" s="33"/>
      <c r="G47" s="33"/>
      <c r="H47" s="33"/>
      <c r="I47" s="35"/>
      <c r="J47" s="35"/>
      <c r="K47" s="90"/>
      <c r="M47" s="23" t="str">
        <f t="shared" si="0"/>
        <v xml:space="preserve">             --41</v>
      </c>
      <c r="V47" s="23" t="str">
        <f t="shared" si="1"/>
        <v xml:space="preserve">      --41</v>
      </c>
    </row>
    <row r="48" spans="1:22">
      <c r="A48" s="59">
        <v>42</v>
      </c>
      <c r="B48" s="91"/>
      <c r="C48" s="2"/>
      <c r="D48" s="38"/>
      <c r="E48" s="39"/>
      <c r="F48" s="33"/>
      <c r="G48" s="33"/>
      <c r="H48" s="33"/>
      <c r="I48" s="93"/>
      <c r="J48" s="93"/>
      <c r="K48" s="19"/>
      <c r="M48" s="23" t="str">
        <f t="shared" si="0"/>
        <v xml:space="preserve">             --42</v>
      </c>
      <c r="V48" s="23" t="str">
        <f t="shared" si="1"/>
        <v xml:space="preserve">      --42</v>
      </c>
    </row>
    <row r="49" spans="1:22">
      <c r="A49" s="59">
        <v>43</v>
      </c>
      <c r="B49" s="92"/>
      <c r="C49" s="92"/>
      <c r="D49" s="33"/>
      <c r="E49" s="33"/>
      <c r="F49" s="33"/>
      <c r="G49" s="33"/>
      <c r="H49" s="33"/>
      <c r="I49" s="93"/>
      <c r="J49" s="93"/>
      <c r="K49" s="19"/>
      <c r="M49" s="23" t="str">
        <f t="shared" si="0"/>
        <v xml:space="preserve">             --43</v>
      </c>
      <c r="V49" s="23" t="str">
        <f t="shared" si="1"/>
        <v xml:space="preserve">      --43</v>
      </c>
    </row>
    <row r="50" spans="1:22">
      <c r="A50" s="59">
        <v>44</v>
      </c>
      <c r="B50" s="91"/>
      <c r="C50" s="91"/>
      <c r="D50" s="33"/>
      <c r="E50" s="33"/>
      <c r="F50" s="33"/>
      <c r="G50" s="33"/>
      <c r="H50" s="33"/>
      <c r="I50" s="35"/>
      <c r="J50" s="35"/>
      <c r="K50" s="90"/>
      <c r="M50" s="23" t="str">
        <f t="shared" si="0"/>
        <v xml:space="preserve">             --44</v>
      </c>
      <c r="V50" s="23" t="str">
        <f t="shared" si="1"/>
        <v xml:space="preserve">      --44</v>
      </c>
    </row>
    <row r="51" spans="1:22">
      <c r="A51" s="59">
        <v>45</v>
      </c>
      <c r="B51" s="91"/>
      <c r="C51" s="91"/>
      <c r="D51" s="33"/>
      <c r="E51" s="33"/>
      <c r="F51" s="33"/>
      <c r="G51" s="33"/>
      <c r="H51" s="33"/>
      <c r="I51" s="35"/>
      <c r="J51" s="35"/>
      <c r="K51" s="90"/>
      <c r="M51" s="23" t="str">
        <f t="shared" si="0"/>
        <v xml:space="preserve">             --45</v>
      </c>
      <c r="V51" s="23" t="str">
        <f t="shared" si="1"/>
        <v xml:space="preserve">      --45</v>
      </c>
    </row>
    <row r="52" spans="1:22">
      <c r="A52" s="59">
        <v>46</v>
      </c>
      <c r="B52" s="91"/>
      <c r="C52" s="91"/>
      <c r="D52" s="17"/>
      <c r="E52" s="33"/>
      <c r="F52" s="35"/>
      <c r="G52" s="33"/>
      <c r="H52" s="33"/>
      <c r="I52" s="35"/>
      <c r="J52" s="35"/>
      <c r="K52" s="90"/>
      <c r="M52" s="23" t="str">
        <f t="shared" si="0"/>
        <v xml:space="preserve">             --46</v>
      </c>
      <c r="V52" s="23" t="str">
        <f t="shared" si="1"/>
        <v xml:space="preserve">      --46</v>
      </c>
    </row>
    <row r="53" spans="1:22">
      <c r="A53" s="59">
        <v>47</v>
      </c>
      <c r="B53" s="91"/>
      <c r="C53" s="91"/>
      <c r="D53" s="33"/>
      <c r="E53" s="33"/>
      <c r="F53" s="33"/>
      <c r="G53" s="33"/>
      <c r="H53" s="33"/>
      <c r="I53" s="35"/>
      <c r="J53" s="35"/>
      <c r="K53" s="90"/>
      <c r="M53" s="23" t="str">
        <f t="shared" si="0"/>
        <v xml:space="preserve">             --47</v>
      </c>
      <c r="V53" s="23" t="str">
        <f t="shared" si="1"/>
        <v xml:space="preserve">      --47</v>
      </c>
    </row>
    <row r="54" spans="1:22">
      <c r="A54" s="59">
        <v>48</v>
      </c>
      <c r="B54" s="91"/>
      <c r="C54" s="91"/>
      <c r="D54" s="33"/>
      <c r="E54" s="33"/>
      <c r="F54" s="33"/>
      <c r="G54" s="33"/>
      <c r="H54" s="33"/>
      <c r="I54" s="35"/>
      <c r="J54" s="35"/>
      <c r="K54" s="90"/>
      <c r="M54" s="23" t="str">
        <f t="shared" si="0"/>
        <v xml:space="preserve">             --48</v>
      </c>
      <c r="V54" s="23" t="str">
        <f t="shared" si="1"/>
        <v xml:space="preserve">      --48</v>
      </c>
    </row>
    <row r="55" spans="1:22">
      <c r="A55" s="59">
        <v>49</v>
      </c>
      <c r="B55" s="92"/>
      <c r="C55" s="92"/>
      <c r="D55" s="33"/>
      <c r="E55" s="33"/>
      <c r="F55" s="33"/>
      <c r="G55" s="33"/>
      <c r="H55" s="33"/>
      <c r="I55" s="93"/>
      <c r="J55" s="93"/>
      <c r="K55" s="19"/>
      <c r="M55" s="23" t="str">
        <f t="shared" si="0"/>
        <v xml:space="preserve">             --49</v>
      </c>
      <c r="V55" s="23" t="str">
        <f t="shared" si="1"/>
        <v xml:space="preserve">      --49</v>
      </c>
    </row>
    <row r="56" spans="1:22">
      <c r="A56" s="59">
        <v>50</v>
      </c>
      <c r="B56" s="92"/>
      <c r="C56" s="92"/>
      <c r="D56" s="33"/>
      <c r="E56" s="33"/>
      <c r="F56" s="33"/>
      <c r="G56" s="33"/>
      <c r="H56" s="33"/>
      <c r="I56" s="93"/>
      <c r="J56" s="93"/>
      <c r="K56" s="19"/>
      <c r="M56" s="23" t="str">
        <f t="shared" si="0"/>
        <v xml:space="preserve">             --50</v>
      </c>
      <c r="V56" s="23" t="str">
        <f t="shared" si="1"/>
        <v xml:space="preserve">      --50</v>
      </c>
    </row>
    <row r="57" spans="1:22">
      <c r="A57" s="59">
        <v>51</v>
      </c>
      <c r="B57" s="92"/>
      <c r="C57" s="92"/>
      <c r="D57" s="33"/>
      <c r="E57" s="33"/>
      <c r="F57" s="33"/>
      <c r="G57" s="33"/>
      <c r="H57" s="33"/>
      <c r="I57" s="93"/>
      <c r="J57" s="93"/>
      <c r="K57" s="19"/>
      <c r="M57" s="23" t="str">
        <f t="shared" si="0"/>
        <v xml:space="preserve">             --51</v>
      </c>
      <c r="V57" s="23" t="str">
        <f t="shared" si="1"/>
        <v xml:space="preserve">      --51</v>
      </c>
    </row>
    <row r="58" spans="1:22">
      <c r="A58" s="59">
        <v>52</v>
      </c>
      <c r="B58" s="92"/>
      <c r="C58" s="92"/>
      <c r="D58" s="33"/>
      <c r="E58" s="33"/>
      <c r="F58" s="33"/>
      <c r="G58" s="33"/>
      <c r="H58" s="33"/>
      <c r="I58" s="93"/>
      <c r="J58" s="93"/>
      <c r="K58" s="19"/>
      <c r="M58" s="23" t="str">
        <f t="shared" si="0"/>
        <v xml:space="preserve">             --52</v>
      </c>
      <c r="V58" s="23" t="str">
        <f t="shared" si="1"/>
        <v xml:space="preserve">      --52</v>
      </c>
    </row>
    <row r="59" spans="1:22">
      <c r="A59" s="59">
        <v>53</v>
      </c>
      <c r="B59" s="92"/>
      <c r="C59" s="92"/>
      <c r="D59" s="33"/>
      <c r="E59" s="33"/>
      <c r="F59" s="33"/>
      <c r="G59" s="33"/>
      <c r="H59" s="33"/>
      <c r="I59" s="93"/>
      <c r="J59" s="93"/>
      <c r="K59" s="19"/>
      <c r="M59" s="23" t="str">
        <f t="shared" si="0"/>
        <v xml:space="preserve">             --53</v>
      </c>
      <c r="V59" s="23" t="str">
        <f t="shared" si="1"/>
        <v xml:space="preserve">      --53</v>
      </c>
    </row>
    <row r="60" spans="1:22">
      <c r="A60" s="59">
        <v>54</v>
      </c>
      <c r="B60" s="92"/>
      <c r="C60" s="92"/>
      <c r="D60" s="33"/>
      <c r="E60" s="33"/>
      <c r="F60" s="33"/>
      <c r="G60" s="33"/>
      <c r="H60" s="33"/>
      <c r="I60" s="93"/>
      <c r="J60" s="93"/>
      <c r="K60" s="19"/>
      <c r="M60" s="23" t="str">
        <f t="shared" si="0"/>
        <v xml:space="preserve">             --54</v>
      </c>
      <c r="V60" s="23" t="str">
        <f t="shared" si="1"/>
        <v xml:space="preserve">      --54</v>
      </c>
    </row>
    <row r="61" spans="1:22">
      <c r="A61" s="59">
        <v>55</v>
      </c>
      <c r="B61" s="92"/>
      <c r="C61" s="92"/>
      <c r="D61" s="33"/>
      <c r="E61" s="33"/>
      <c r="F61" s="33"/>
      <c r="G61" s="33"/>
      <c r="H61" s="33"/>
      <c r="I61" s="93"/>
      <c r="J61" s="93"/>
      <c r="K61" s="19"/>
      <c r="M61" s="23" t="str">
        <f t="shared" si="0"/>
        <v xml:space="preserve">             --55</v>
      </c>
      <c r="V61" s="23" t="str">
        <f t="shared" si="1"/>
        <v xml:space="preserve">      --55</v>
      </c>
    </row>
    <row r="62" spans="1:22">
      <c r="A62" s="59">
        <v>56</v>
      </c>
      <c r="B62" s="92"/>
      <c r="C62" s="92"/>
      <c r="D62" s="33"/>
      <c r="E62" s="33"/>
      <c r="F62" s="33"/>
      <c r="G62" s="33"/>
      <c r="H62" s="33"/>
      <c r="I62" s="93"/>
      <c r="J62" s="93"/>
      <c r="K62" s="19"/>
      <c r="M62" s="23" t="str">
        <f t="shared" si="0"/>
        <v xml:space="preserve">             --56</v>
      </c>
      <c r="V62" s="23" t="str">
        <f t="shared" si="1"/>
        <v xml:space="preserve">      --56</v>
      </c>
    </row>
    <row r="63" spans="1:22">
      <c r="A63" s="59">
        <v>57</v>
      </c>
      <c r="B63" s="92"/>
      <c r="C63" s="92"/>
      <c r="D63" s="33"/>
      <c r="E63" s="33"/>
      <c r="F63" s="33"/>
      <c r="G63" s="33"/>
      <c r="H63" s="33"/>
      <c r="I63" s="93"/>
      <c r="J63" s="93"/>
      <c r="K63" s="19"/>
      <c r="M63" s="23" t="str">
        <f t="shared" si="0"/>
        <v xml:space="preserve">             --57</v>
      </c>
      <c r="V63" s="23" t="str">
        <f t="shared" si="1"/>
        <v xml:space="preserve">      --57</v>
      </c>
    </row>
    <row r="64" spans="1:22">
      <c r="A64" s="59">
        <v>58</v>
      </c>
      <c r="B64" s="92"/>
      <c r="C64" s="92"/>
      <c r="D64" s="33"/>
      <c r="E64" s="33"/>
      <c r="F64" s="33"/>
      <c r="G64" s="33"/>
      <c r="H64" s="33"/>
      <c r="I64" s="93"/>
      <c r="J64" s="93"/>
      <c r="K64" s="19"/>
      <c r="M64" s="23" t="str">
        <f t="shared" si="0"/>
        <v xml:space="preserve">             --58</v>
      </c>
      <c r="V64" s="23" t="str">
        <f t="shared" si="1"/>
        <v xml:space="preserve">      --58</v>
      </c>
    </row>
    <row r="65" spans="1:22">
      <c r="A65" s="59">
        <v>59</v>
      </c>
      <c r="B65" s="92"/>
      <c r="C65" s="92"/>
      <c r="D65" s="33"/>
      <c r="E65" s="33"/>
      <c r="F65" s="33"/>
      <c r="G65" s="33"/>
      <c r="H65" s="33"/>
      <c r="I65" s="93"/>
      <c r="J65" s="93"/>
      <c r="K65" s="19"/>
      <c r="M65" s="23" t="str">
        <f t="shared" si="0"/>
        <v xml:space="preserve">             --59</v>
      </c>
      <c r="V65" s="23" t="str">
        <f t="shared" si="1"/>
        <v xml:space="preserve">      --59</v>
      </c>
    </row>
    <row r="66" spans="1:22">
      <c r="A66" s="59">
        <v>60</v>
      </c>
      <c r="B66" s="93"/>
      <c r="C66" s="92"/>
      <c r="D66" s="33"/>
      <c r="E66" s="33"/>
      <c r="F66" s="33"/>
      <c r="G66" s="33"/>
      <c r="H66" s="33"/>
      <c r="I66" s="93"/>
      <c r="J66" s="93"/>
      <c r="K66" s="19"/>
      <c r="M66" s="23" t="str">
        <f t="shared" si="0"/>
        <v xml:space="preserve">             --60</v>
      </c>
      <c r="V66" s="23" t="str">
        <f t="shared" si="1"/>
        <v xml:space="preserve">      --60</v>
      </c>
    </row>
    <row r="67" spans="1:22">
      <c r="A67" s="59">
        <v>61</v>
      </c>
      <c r="B67" s="93"/>
      <c r="C67" s="92"/>
      <c r="D67" s="33"/>
      <c r="E67" s="33"/>
      <c r="F67" s="33"/>
      <c r="G67" s="33"/>
      <c r="H67" s="33"/>
      <c r="I67" s="93"/>
      <c r="J67" s="93"/>
      <c r="K67" s="19"/>
      <c r="M67" s="23" t="str">
        <f t="shared" si="0"/>
        <v xml:space="preserve">             --61</v>
      </c>
      <c r="V67" s="23" t="str">
        <f t="shared" si="1"/>
        <v xml:space="preserve">      --61</v>
      </c>
    </row>
    <row r="68" spans="1:22">
      <c r="A68" s="59">
        <v>62</v>
      </c>
      <c r="B68" s="93"/>
      <c r="C68" s="92"/>
      <c r="D68" s="33"/>
      <c r="E68" s="33"/>
      <c r="F68" s="33"/>
      <c r="G68" s="33"/>
      <c r="H68" s="33"/>
      <c r="I68" s="93"/>
      <c r="J68" s="93"/>
      <c r="K68" s="19"/>
      <c r="M68" s="23" t="str">
        <f t="shared" si="0"/>
        <v xml:space="preserve">             --62</v>
      </c>
      <c r="V68" s="23" t="str">
        <f t="shared" si="1"/>
        <v xml:space="preserve">      --62</v>
      </c>
    </row>
    <row r="69" spans="1:22">
      <c r="A69" s="59">
        <v>63</v>
      </c>
      <c r="B69" s="93"/>
      <c r="C69" s="92"/>
      <c r="D69" s="33"/>
      <c r="E69" s="33"/>
      <c r="F69" s="33"/>
      <c r="G69" s="33"/>
      <c r="H69" s="33"/>
      <c r="I69" s="93"/>
      <c r="J69" s="93"/>
      <c r="K69" s="19"/>
      <c r="M69" s="23" t="str">
        <f t="shared" si="0"/>
        <v xml:space="preserve">             --63</v>
      </c>
      <c r="V69" s="23" t="str">
        <f t="shared" si="1"/>
        <v xml:space="preserve">      --63</v>
      </c>
    </row>
    <row r="70" spans="1:22">
      <c r="A70" s="59">
        <v>64</v>
      </c>
      <c r="B70" s="93"/>
      <c r="C70" s="92"/>
      <c r="D70" s="33"/>
      <c r="E70" s="33"/>
      <c r="F70" s="33"/>
      <c r="G70" s="33"/>
      <c r="H70" s="33"/>
      <c r="I70" s="93"/>
      <c r="J70" s="93"/>
      <c r="K70" s="19"/>
      <c r="M70" s="23" t="str">
        <f t="shared" si="0"/>
        <v xml:space="preserve">             --64</v>
      </c>
      <c r="V70" s="23" t="str">
        <f t="shared" si="1"/>
        <v xml:space="preserve">      --64</v>
      </c>
    </row>
    <row r="71" spans="1:22">
      <c r="A71" s="59">
        <v>65</v>
      </c>
      <c r="B71" s="93"/>
      <c r="C71" s="92"/>
      <c r="D71" s="33"/>
      <c r="E71" s="33"/>
      <c r="F71" s="33"/>
      <c r="G71" s="33"/>
      <c r="H71" s="33"/>
      <c r="I71" s="93"/>
      <c r="J71" s="93"/>
      <c r="K71" s="19"/>
      <c r="M71" s="23" t="str">
        <f t="shared" si="0"/>
        <v xml:space="preserve">             --65</v>
      </c>
      <c r="V71" s="23" t="str">
        <f t="shared" si="1"/>
        <v xml:space="preserve">      --65</v>
      </c>
    </row>
    <row r="72" spans="1:22">
      <c r="A72" s="59">
        <v>66</v>
      </c>
      <c r="B72" s="93"/>
      <c r="C72" s="92"/>
      <c r="D72" s="33"/>
      <c r="E72" s="33"/>
      <c r="F72" s="33"/>
      <c r="G72" s="33"/>
      <c r="H72" s="33"/>
      <c r="I72" s="93"/>
      <c r="J72" s="93"/>
      <c r="K72" s="19"/>
      <c r="M72" s="23" t="str">
        <f t="shared" ref="M72:M106" si="2">REPT(" ",13)&amp;IF(ISBLANK($B72),"--"&amp;$A72,
LEFT(SUBSTITUTE($B72," ","*")&amp;REPT(" ",30),30)&amp;
LEFT(IF(ISBLANK($D72),"",IF(OR(UPPER($D72)="DATE",UPPER($D72)="CLOB",UPPER($D72)="BLOB",UPPER($D72)="LONG",UPPER($D72)="TIMESTAMP"),UPPER($D72),IF(ISBLANK($E72),UPPER($D72),UPPER($D72)&amp;"("&amp;$E72&amp;")")))&amp;REPT(" ",15),15)&amp;
LEFT(IF(ISBLANK($F72),"","DEFAULT  "&amp;$F72)&amp;REPT(" ",19),19)&amp;
LEFT(IF(ISBLANK($J72),""," identity(" &amp; $J72 &amp; ") ")&amp;REPT(" ",17),17)&amp;
LEFT(IF(ISBLANK($H72),""," NOT NULL")&amp;REPT(" ",9),9)&amp;
IF(AND(ISBLANK(G$7),ISBLANK($B73)),"",","))</f>
        <v xml:space="preserve">             --66</v>
      </c>
      <c r="V72" s="23" t="str">
        <f t="shared" ref="V72:V106" si="3">REPT(" ",6)&amp;
IF(ISBLANK($B72),"--"&amp;UPPER($A72),LEFT(SUBSTITUTE(UPPER($B72)," ","*")&amp;REPT(" ",30),30)&amp;
LEFT("AS " &amp; LOWER(MID(SUBSTITUTE(PROPER($B72),"_",""),1,1))&amp;MID(SUBSTITUTE(PROPER($B72),"_",""),2,LEN(SUBSTITUTE(PROPER($B72),"_","")))&amp;REPT(" ",30),30)&amp;
LEFT(IF(ISBLANK($C72),"/**/","/* "&amp;$C72)&amp;" */"&amp;REPT(" ",30),30))</f>
        <v xml:space="preserve">      --66</v>
      </c>
    </row>
    <row r="73" spans="1:22">
      <c r="A73" s="59">
        <v>67</v>
      </c>
      <c r="B73" s="93"/>
      <c r="C73" s="92"/>
      <c r="D73" s="33"/>
      <c r="E73" s="33"/>
      <c r="F73" s="33"/>
      <c r="G73" s="33"/>
      <c r="H73" s="33"/>
      <c r="I73" s="93"/>
      <c r="J73" s="93"/>
      <c r="K73" s="19"/>
      <c r="M73" s="23" t="str">
        <f t="shared" si="2"/>
        <v xml:space="preserve">             --67</v>
      </c>
      <c r="V73" s="23" t="str">
        <f t="shared" si="3"/>
        <v xml:space="preserve">      --67</v>
      </c>
    </row>
    <row r="74" spans="1:22">
      <c r="A74" s="59">
        <v>68</v>
      </c>
      <c r="B74" s="93"/>
      <c r="C74" s="92"/>
      <c r="D74" s="33"/>
      <c r="E74" s="33"/>
      <c r="F74" s="33"/>
      <c r="G74" s="33"/>
      <c r="H74" s="33"/>
      <c r="I74" s="93"/>
      <c r="J74" s="93"/>
      <c r="K74" s="19"/>
      <c r="M74" s="23" t="str">
        <f t="shared" si="2"/>
        <v xml:space="preserve">             --68</v>
      </c>
      <c r="V74" s="23" t="str">
        <f t="shared" si="3"/>
        <v xml:space="preserve">      --68</v>
      </c>
    </row>
    <row r="75" spans="1:22">
      <c r="A75" s="59">
        <v>69</v>
      </c>
      <c r="B75" s="93"/>
      <c r="C75" s="92"/>
      <c r="D75" s="33"/>
      <c r="E75" s="33"/>
      <c r="F75" s="33"/>
      <c r="G75" s="33"/>
      <c r="H75" s="33"/>
      <c r="I75" s="93"/>
      <c r="J75" s="93"/>
      <c r="K75" s="19"/>
      <c r="M75" s="23" t="str">
        <f t="shared" si="2"/>
        <v xml:space="preserve">             --69</v>
      </c>
      <c r="V75" s="23" t="str">
        <f t="shared" si="3"/>
        <v xml:space="preserve">      --69</v>
      </c>
    </row>
    <row r="76" spans="1:22">
      <c r="A76" s="59">
        <v>70</v>
      </c>
      <c r="B76" s="93"/>
      <c r="C76" s="92"/>
      <c r="D76" s="33"/>
      <c r="E76" s="33"/>
      <c r="F76" s="33"/>
      <c r="G76" s="33"/>
      <c r="H76" s="33"/>
      <c r="I76" s="93"/>
      <c r="J76" s="93"/>
      <c r="K76" s="19"/>
      <c r="M76" s="23" t="str">
        <f t="shared" si="2"/>
        <v xml:space="preserve">             --70</v>
      </c>
      <c r="V76" s="23" t="str">
        <f t="shared" si="3"/>
        <v xml:space="preserve">      --70</v>
      </c>
    </row>
    <row r="77" spans="1:22">
      <c r="A77" s="59">
        <v>71</v>
      </c>
      <c r="B77" s="93"/>
      <c r="C77" s="92"/>
      <c r="D77" s="33"/>
      <c r="E77" s="33"/>
      <c r="F77" s="36"/>
      <c r="G77" s="33"/>
      <c r="H77" s="33"/>
      <c r="I77" s="93"/>
      <c r="J77" s="93"/>
      <c r="K77" s="19"/>
      <c r="M77" s="23" t="str">
        <f t="shared" si="2"/>
        <v xml:space="preserve">             --71</v>
      </c>
      <c r="V77" s="23" t="str">
        <f t="shared" si="3"/>
        <v xml:space="preserve">      --71</v>
      </c>
    </row>
    <row r="78" spans="1:22">
      <c r="A78" s="59">
        <v>72</v>
      </c>
      <c r="B78" s="93"/>
      <c r="C78" s="92"/>
      <c r="D78" s="33"/>
      <c r="E78" s="33"/>
      <c r="F78" s="33"/>
      <c r="G78" s="33"/>
      <c r="H78" s="33"/>
      <c r="I78" s="93"/>
      <c r="J78" s="93"/>
      <c r="K78" s="19"/>
      <c r="M78" s="23" t="str">
        <f t="shared" si="2"/>
        <v xml:space="preserve">             --72</v>
      </c>
      <c r="V78" s="23" t="str">
        <f t="shared" si="3"/>
        <v xml:space="preserve">      --72</v>
      </c>
    </row>
    <row r="79" spans="1:22">
      <c r="A79" s="59">
        <v>73</v>
      </c>
      <c r="B79" s="93"/>
      <c r="C79" s="92"/>
      <c r="D79" s="33"/>
      <c r="E79" s="33"/>
      <c r="F79" s="36"/>
      <c r="G79" s="33"/>
      <c r="H79" s="33"/>
      <c r="I79" s="93"/>
      <c r="J79" s="93"/>
      <c r="K79" s="19"/>
      <c r="M79" s="23" t="str">
        <f t="shared" si="2"/>
        <v xml:space="preserve">             --73</v>
      </c>
      <c r="V79" s="23" t="str">
        <f t="shared" si="3"/>
        <v xml:space="preserve">      --73</v>
      </c>
    </row>
    <row r="80" spans="1:22">
      <c r="A80" s="59">
        <v>74</v>
      </c>
      <c r="B80" s="93"/>
      <c r="C80" s="92"/>
      <c r="D80" s="33"/>
      <c r="E80" s="33"/>
      <c r="F80" s="33"/>
      <c r="G80" s="33"/>
      <c r="H80" s="33"/>
      <c r="I80" s="93"/>
      <c r="J80" s="93"/>
      <c r="K80" s="19"/>
      <c r="M80" s="23" t="str">
        <f t="shared" si="2"/>
        <v xml:space="preserve">             --74</v>
      </c>
      <c r="V80" s="23" t="str">
        <f t="shared" si="3"/>
        <v xml:space="preserve">      --74</v>
      </c>
    </row>
    <row r="81" spans="1:22">
      <c r="A81" s="59">
        <v>75</v>
      </c>
      <c r="B81" s="93"/>
      <c r="C81" s="92"/>
      <c r="D81" s="33"/>
      <c r="E81" s="33"/>
      <c r="F81" s="33"/>
      <c r="G81" s="33"/>
      <c r="H81" s="33"/>
      <c r="I81" s="93"/>
      <c r="J81" s="93"/>
      <c r="K81" s="19"/>
      <c r="M81" s="23" t="str">
        <f t="shared" si="2"/>
        <v xml:space="preserve">             --75</v>
      </c>
      <c r="V81" s="23" t="str">
        <f t="shared" si="3"/>
        <v xml:space="preserve">      --75</v>
      </c>
    </row>
    <row r="82" spans="1:22">
      <c r="A82" s="59">
        <v>76</v>
      </c>
      <c r="B82" s="93"/>
      <c r="C82" s="92"/>
      <c r="D82" s="33"/>
      <c r="E82" s="33"/>
      <c r="F82" s="33"/>
      <c r="G82" s="33"/>
      <c r="H82" s="33"/>
      <c r="I82" s="93"/>
      <c r="J82" s="93"/>
      <c r="K82" s="19"/>
      <c r="M82" s="23" t="str">
        <f t="shared" si="2"/>
        <v xml:space="preserve">             --76</v>
      </c>
      <c r="V82" s="23" t="str">
        <f t="shared" si="3"/>
        <v xml:space="preserve">      --76</v>
      </c>
    </row>
    <row r="83" spans="1:22">
      <c r="A83" s="59">
        <v>77</v>
      </c>
      <c r="B83" s="93"/>
      <c r="C83" s="92"/>
      <c r="D83" s="33"/>
      <c r="E83" s="33"/>
      <c r="F83" s="33"/>
      <c r="G83" s="33"/>
      <c r="H83" s="33"/>
      <c r="I83" s="93"/>
      <c r="J83" s="93"/>
      <c r="K83" s="19"/>
      <c r="M83" s="23" t="str">
        <f t="shared" si="2"/>
        <v xml:space="preserve">             --77</v>
      </c>
      <c r="V83" s="23" t="str">
        <f t="shared" si="3"/>
        <v xml:space="preserve">      --77</v>
      </c>
    </row>
    <row r="84" spans="1:22">
      <c r="A84" s="59">
        <v>78</v>
      </c>
      <c r="B84" s="93"/>
      <c r="C84" s="92"/>
      <c r="D84" s="33"/>
      <c r="E84" s="33"/>
      <c r="F84" s="33"/>
      <c r="G84" s="33"/>
      <c r="H84" s="33"/>
      <c r="I84" s="93"/>
      <c r="J84" s="93"/>
      <c r="K84" s="19"/>
      <c r="M84" s="23" t="str">
        <f t="shared" si="2"/>
        <v xml:space="preserve">             --78</v>
      </c>
      <c r="V84" s="23" t="str">
        <f t="shared" si="3"/>
        <v xml:space="preserve">      --78</v>
      </c>
    </row>
    <row r="85" spans="1:22">
      <c r="A85" s="59">
        <v>79</v>
      </c>
      <c r="B85" s="93"/>
      <c r="C85" s="92"/>
      <c r="D85" s="33"/>
      <c r="E85" s="33"/>
      <c r="F85" s="33"/>
      <c r="G85" s="33"/>
      <c r="H85" s="33"/>
      <c r="I85" s="93"/>
      <c r="J85" s="93"/>
      <c r="K85" s="19"/>
      <c r="M85" s="23" t="str">
        <f t="shared" si="2"/>
        <v xml:space="preserve">             --79</v>
      </c>
      <c r="V85" s="23" t="str">
        <f t="shared" si="3"/>
        <v xml:space="preserve">      --79</v>
      </c>
    </row>
    <row r="86" spans="1:22">
      <c r="A86" s="59">
        <v>80</v>
      </c>
      <c r="B86" s="93"/>
      <c r="C86" s="92"/>
      <c r="D86" s="33"/>
      <c r="E86" s="33"/>
      <c r="F86" s="33"/>
      <c r="G86" s="33"/>
      <c r="H86" s="33"/>
      <c r="I86" s="93"/>
      <c r="J86" s="93"/>
      <c r="K86" s="19"/>
      <c r="M86" s="23" t="str">
        <f t="shared" si="2"/>
        <v xml:space="preserve">             --80</v>
      </c>
      <c r="V86" s="23" t="str">
        <f t="shared" si="3"/>
        <v xml:space="preserve">      --80</v>
      </c>
    </row>
    <row r="87" spans="1:22">
      <c r="A87" s="59">
        <v>81</v>
      </c>
      <c r="B87" s="93"/>
      <c r="C87" s="92"/>
      <c r="D87" s="33"/>
      <c r="E87" s="33"/>
      <c r="F87" s="33"/>
      <c r="G87" s="33"/>
      <c r="H87" s="33"/>
      <c r="I87" s="93"/>
      <c r="J87" s="93"/>
      <c r="K87" s="19"/>
      <c r="M87" s="23" t="str">
        <f t="shared" si="2"/>
        <v xml:space="preserve">             --81</v>
      </c>
      <c r="V87" s="23" t="str">
        <f t="shared" si="3"/>
        <v xml:space="preserve">      --81</v>
      </c>
    </row>
    <row r="88" spans="1:22">
      <c r="A88" s="59">
        <v>82</v>
      </c>
      <c r="B88" s="93"/>
      <c r="C88" s="92"/>
      <c r="D88" s="33"/>
      <c r="E88" s="33"/>
      <c r="F88" s="33"/>
      <c r="G88" s="33"/>
      <c r="H88" s="33"/>
      <c r="I88" s="93"/>
      <c r="J88" s="93"/>
      <c r="K88" s="19"/>
      <c r="M88" s="23" t="str">
        <f t="shared" si="2"/>
        <v xml:space="preserve">             --82</v>
      </c>
      <c r="V88" s="23" t="str">
        <f t="shared" si="3"/>
        <v xml:space="preserve">      --82</v>
      </c>
    </row>
    <row r="89" spans="1:22">
      <c r="A89" s="59">
        <v>83</v>
      </c>
      <c r="B89" s="93"/>
      <c r="C89" s="92"/>
      <c r="D89" s="33"/>
      <c r="E89" s="33"/>
      <c r="F89" s="33"/>
      <c r="G89" s="33"/>
      <c r="H89" s="33"/>
      <c r="I89" s="93"/>
      <c r="J89" s="93"/>
      <c r="K89" s="19"/>
      <c r="M89" s="23" t="str">
        <f t="shared" si="2"/>
        <v xml:space="preserve">             --83</v>
      </c>
      <c r="V89" s="23" t="str">
        <f t="shared" si="3"/>
        <v xml:space="preserve">      --83</v>
      </c>
    </row>
    <row r="90" spans="1:22">
      <c r="A90" s="59">
        <v>84</v>
      </c>
      <c r="B90" s="93"/>
      <c r="C90" s="92"/>
      <c r="D90" s="33"/>
      <c r="E90" s="33"/>
      <c r="F90" s="33"/>
      <c r="G90" s="33"/>
      <c r="H90" s="33"/>
      <c r="I90" s="93"/>
      <c r="J90" s="93"/>
      <c r="K90" s="19"/>
      <c r="M90" s="23" t="str">
        <f t="shared" si="2"/>
        <v xml:space="preserve">             --84</v>
      </c>
      <c r="V90" s="23" t="str">
        <f t="shared" si="3"/>
        <v xml:space="preserve">      --84</v>
      </c>
    </row>
    <row r="91" spans="1:22">
      <c r="A91" s="59">
        <v>85</v>
      </c>
      <c r="B91" s="93"/>
      <c r="C91" s="92"/>
      <c r="D91" s="33"/>
      <c r="E91" s="33"/>
      <c r="F91" s="33"/>
      <c r="G91" s="33"/>
      <c r="H91" s="33"/>
      <c r="I91" s="93"/>
      <c r="J91" s="93"/>
      <c r="K91" s="19"/>
      <c r="M91" s="23" t="str">
        <f t="shared" si="2"/>
        <v xml:space="preserve">             --85</v>
      </c>
      <c r="V91" s="23" t="str">
        <f t="shared" si="3"/>
        <v xml:space="preserve">      --85</v>
      </c>
    </row>
    <row r="92" spans="1:22">
      <c r="A92" s="59">
        <v>86</v>
      </c>
      <c r="B92" s="93"/>
      <c r="C92" s="92"/>
      <c r="D92" s="33"/>
      <c r="E92" s="33"/>
      <c r="F92" s="33"/>
      <c r="G92" s="33"/>
      <c r="H92" s="33"/>
      <c r="I92" s="93"/>
      <c r="J92" s="93"/>
      <c r="K92" s="19"/>
      <c r="M92" s="23" t="str">
        <f t="shared" si="2"/>
        <v xml:space="preserve">             --86</v>
      </c>
      <c r="V92" s="23" t="str">
        <f t="shared" si="3"/>
        <v xml:space="preserve">      --86</v>
      </c>
    </row>
    <row r="93" spans="1:22">
      <c r="A93" s="59">
        <v>87</v>
      </c>
      <c r="B93" s="93"/>
      <c r="C93" s="92"/>
      <c r="D93" s="33"/>
      <c r="E93" s="33"/>
      <c r="F93" s="33"/>
      <c r="G93" s="33"/>
      <c r="H93" s="33"/>
      <c r="I93" s="93"/>
      <c r="J93" s="93"/>
      <c r="K93" s="19"/>
      <c r="M93" s="23" t="str">
        <f t="shared" si="2"/>
        <v xml:space="preserve">             --87</v>
      </c>
      <c r="V93" s="23" t="str">
        <f t="shared" si="3"/>
        <v xml:space="preserve">      --87</v>
      </c>
    </row>
    <row r="94" spans="1:22">
      <c r="A94" s="59">
        <v>88</v>
      </c>
      <c r="B94" s="93"/>
      <c r="C94" s="92"/>
      <c r="D94" s="33"/>
      <c r="E94" s="33"/>
      <c r="F94" s="33"/>
      <c r="G94" s="33"/>
      <c r="H94" s="33"/>
      <c r="I94" s="93"/>
      <c r="J94" s="93"/>
      <c r="K94" s="19"/>
      <c r="M94" s="23" t="str">
        <f t="shared" si="2"/>
        <v xml:space="preserve">             --88</v>
      </c>
      <c r="V94" s="23" t="str">
        <f t="shared" si="3"/>
        <v xml:space="preserve">      --88</v>
      </c>
    </row>
    <row r="95" spans="1:22">
      <c r="A95" s="59">
        <v>89</v>
      </c>
      <c r="B95" s="93"/>
      <c r="C95" s="92"/>
      <c r="D95" s="33"/>
      <c r="E95" s="33"/>
      <c r="F95" s="33"/>
      <c r="G95" s="33"/>
      <c r="H95" s="33"/>
      <c r="I95" s="93"/>
      <c r="J95" s="93"/>
      <c r="K95" s="19"/>
      <c r="M95" s="23" t="str">
        <f t="shared" si="2"/>
        <v xml:space="preserve">             --89</v>
      </c>
      <c r="V95" s="23" t="str">
        <f t="shared" si="3"/>
        <v xml:space="preserve">      --89</v>
      </c>
    </row>
    <row r="96" spans="1:22">
      <c r="A96" s="59">
        <v>90</v>
      </c>
      <c r="B96" s="93"/>
      <c r="C96" s="92"/>
      <c r="D96" s="33"/>
      <c r="E96" s="33"/>
      <c r="F96" s="33"/>
      <c r="G96" s="33"/>
      <c r="H96" s="33"/>
      <c r="I96" s="93"/>
      <c r="J96" s="93"/>
      <c r="K96" s="19"/>
      <c r="M96" s="23" t="str">
        <f t="shared" si="2"/>
        <v xml:space="preserve">             --90</v>
      </c>
      <c r="V96" s="23" t="str">
        <f t="shared" si="3"/>
        <v xml:space="preserve">      --90</v>
      </c>
    </row>
    <row r="97" spans="1:22">
      <c r="A97" s="59">
        <v>91</v>
      </c>
      <c r="B97" s="93"/>
      <c r="C97" s="92"/>
      <c r="D97" s="33"/>
      <c r="E97" s="33"/>
      <c r="F97" s="36"/>
      <c r="G97" s="33"/>
      <c r="H97" s="33"/>
      <c r="I97" s="93"/>
      <c r="J97" s="93"/>
      <c r="K97" s="19"/>
      <c r="M97" s="23" t="str">
        <f t="shared" si="2"/>
        <v xml:space="preserve">             --91</v>
      </c>
      <c r="V97" s="23" t="str">
        <f t="shared" si="3"/>
        <v xml:space="preserve">      --91</v>
      </c>
    </row>
    <row r="98" spans="1:22">
      <c r="A98" s="59">
        <v>92</v>
      </c>
      <c r="B98" s="2"/>
      <c r="C98" s="2"/>
      <c r="D98" s="33"/>
      <c r="E98" s="33"/>
      <c r="F98" s="33"/>
      <c r="G98" s="33"/>
      <c r="H98" s="33"/>
      <c r="I98" s="93"/>
      <c r="J98" s="93"/>
      <c r="K98" s="19"/>
      <c r="M98" s="23" t="str">
        <f t="shared" si="2"/>
        <v xml:space="preserve">             --92</v>
      </c>
      <c r="V98" s="23" t="str">
        <f t="shared" si="3"/>
        <v xml:space="preserve">      --92</v>
      </c>
    </row>
    <row r="99" spans="1:22">
      <c r="A99" s="59">
        <v>93</v>
      </c>
      <c r="B99" s="2"/>
      <c r="C99" s="2"/>
      <c r="D99" s="33"/>
      <c r="E99" s="33"/>
      <c r="F99" s="33"/>
      <c r="G99" s="33"/>
      <c r="H99" s="33"/>
      <c r="I99" s="33"/>
      <c r="J99" s="33"/>
      <c r="K99" s="19"/>
      <c r="M99" s="23" t="str">
        <f t="shared" si="2"/>
        <v xml:space="preserve">             --93</v>
      </c>
      <c r="V99" s="23" t="str">
        <f t="shared" si="3"/>
        <v xml:space="preserve">      --93</v>
      </c>
    </row>
    <row r="100" spans="1:22">
      <c r="A100" s="59">
        <v>94</v>
      </c>
      <c r="B100" s="93"/>
      <c r="C100" s="92"/>
      <c r="D100" s="33"/>
      <c r="E100" s="33"/>
      <c r="F100" s="33"/>
      <c r="G100" s="33"/>
      <c r="H100" s="33"/>
      <c r="I100" s="33"/>
      <c r="J100" s="33"/>
      <c r="K100" s="19"/>
      <c r="M100" s="23" t="str">
        <f t="shared" si="2"/>
        <v xml:space="preserve">             --94</v>
      </c>
      <c r="V100" s="23" t="str">
        <f t="shared" si="3"/>
        <v xml:space="preserve">      --94</v>
      </c>
    </row>
    <row r="101" spans="1:22">
      <c r="A101" s="59">
        <v>95</v>
      </c>
      <c r="B101" s="2"/>
      <c r="C101" s="2"/>
      <c r="D101" s="33"/>
      <c r="E101" s="33"/>
      <c r="F101" s="33"/>
      <c r="G101" s="33"/>
      <c r="H101" s="33"/>
      <c r="I101" s="93"/>
      <c r="J101" s="93"/>
      <c r="K101" s="19"/>
      <c r="M101" s="23" t="str">
        <f t="shared" si="2"/>
        <v xml:space="preserve">             --95</v>
      </c>
      <c r="V101" s="23" t="str">
        <f t="shared" si="3"/>
        <v xml:space="preserve">      --95</v>
      </c>
    </row>
    <row r="102" spans="1:22">
      <c r="A102" s="59">
        <v>96</v>
      </c>
      <c r="B102" s="2"/>
      <c r="C102" s="97"/>
      <c r="D102" s="38"/>
      <c r="E102" s="39"/>
      <c r="F102" s="40"/>
      <c r="G102" s="44"/>
      <c r="H102" s="42"/>
      <c r="I102" s="41"/>
      <c r="J102" s="41"/>
      <c r="K102" s="43"/>
      <c r="M102" s="23" t="str">
        <f t="shared" si="2"/>
        <v xml:space="preserve">             --96</v>
      </c>
      <c r="V102" s="23" t="str">
        <f t="shared" si="3"/>
        <v xml:space="preserve">      --96</v>
      </c>
    </row>
    <row r="103" spans="1:22">
      <c r="A103" s="59">
        <v>97</v>
      </c>
      <c r="B103" s="2"/>
      <c r="C103" s="2"/>
      <c r="D103" s="33"/>
      <c r="E103" s="46"/>
      <c r="F103" s="33"/>
      <c r="G103" s="33"/>
      <c r="H103" s="33"/>
      <c r="I103" s="33"/>
      <c r="J103" s="33"/>
      <c r="K103" s="19"/>
      <c r="M103" s="23" t="str">
        <f t="shared" si="2"/>
        <v xml:space="preserve">             --97</v>
      </c>
      <c r="V103" s="23" t="str">
        <f t="shared" si="3"/>
        <v xml:space="preserve">      --97</v>
      </c>
    </row>
    <row r="104" spans="1:22">
      <c r="A104" s="59">
        <v>98</v>
      </c>
      <c r="B104" s="2"/>
      <c r="C104" s="2"/>
      <c r="D104" s="33"/>
      <c r="E104" s="46"/>
      <c r="F104" s="33"/>
      <c r="G104" s="33"/>
      <c r="H104" s="33"/>
      <c r="I104" s="33"/>
      <c r="J104" s="33"/>
      <c r="K104" s="19"/>
      <c r="M104" s="23" t="str">
        <f t="shared" si="2"/>
        <v xml:space="preserve">             --98</v>
      </c>
      <c r="V104" s="23" t="str">
        <f t="shared" si="3"/>
        <v xml:space="preserve">      --98</v>
      </c>
    </row>
    <row r="105" spans="1:22">
      <c r="A105" s="59">
        <v>99</v>
      </c>
      <c r="B105" s="2"/>
      <c r="C105" s="2"/>
      <c r="D105" s="33"/>
      <c r="E105" s="46"/>
      <c r="F105" s="36"/>
      <c r="G105" s="33"/>
      <c r="H105" s="33"/>
      <c r="I105" s="93"/>
      <c r="J105" s="93"/>
      <c r="K105" s="19"/>
      <c r="M105" s="23" t="str">
        <f t="shared" si="2"/>
        <v xml:space="preserve">             --99</v>
      </c>
      <c r="V105" s="23" t="str">
        <f t="shared" si="3"/>
        <v xml:space="preserve">      --99</v>
      </c>
    </row>
    <row r="106" spans="1:22">
      <c r="A106" s="59">
        <v>100</v>
      </c>
      <c r="B106" s="97"/>
      <c r="C106" s="91"/>
      <c r="D106" s="33"/>
      <c r="E106" s="46"/>
      <c r="F106" s="33"/>
      <c r="G106" s="33"/>
      <c r="H106" s="33"/>
      <c r="I106" s="93"/>
      <c r="J106" s="93"/>
      <c r="K106" s="19"/>
      <c r="M106" s="23" t="str">
        <f t="shared" si="2"/>
        <v xml:space="preserve">             --100</v>
      </c>
      <c r="V106" s="23" t="str">
        <f t="shared" si="3"/>
        <v xml:space="preserve">      --100</v>
      </c>
    </row>
    <row r="107" spans="1:22">
      <c r="A107" s="30"/>
      <c r="B107" s="27"/>
      <c r="C107" s="27"/>
      <c r="D107" s="30"/>
      <c r="E107" s="30"/>
      <c r="F107" s="27"/>
      <c r="G107" s="27"/>
      <c r="H107" s="27"/>
      <c r="I107" s="27"/>
      <c r="J107" s="27"/>
      <c r="K107" s="27"/>
      <c r="M107" s="23"/>
    </row>
    <row r="108" spans="1:22">
      <c r="B108" s="20" t="s">
        <v>2</v>
      </c>
      <c r="M108" s="24" t="str">
        <f>REPT(" ",13)&amp;IF(ISBLANK($G7),"--","")&amp;"CONSTRAINT   " &amp; "idx_" &amp; $C$3 &amp; "_pk  PRIMARY KEY CLUSTERED ("</f>
        <v xml:space="preserve">             --CONSTRAINT   idx_Display_pk  PRIMARY KEY CLUSTERED (</v>
      </c>
    </row>
    <row r="109" spans="1:22">
      <c r="B109" s="59" t="s">
        <v>5</v>
      </c>
      <c r="C109" s="59" t="s">
        <v>3</v>
      </c>
      <c r="D109" s="59" t="s">
        <v>4</v>
      </c>
      <c r="M109" s="18" t="str">
        <f>REPT(" ",25)&amp;IF($G7="","--"&amp;$A7,"")&amp;IF($G7&lt;&gt;"",IF(LEFT(TRIM($M108),10)="CONSTRAINT"," ",",") &amp; TRIM($B7),"")</f>
        <v xml:space="preserve">                         --1</v>
      </c>
    </row>
    <row r="110" spans="1:22">
      <c r="B110" s="21"/>
      <c r="C110" s="34"/>
      <c r="D110" s="59"/>
      <c r="M110" s="24" t="str">
        <f t="shared" ref="M110:M117" si="4">REPT(" ",25)&amp;IF($G8="","--"&amp;$A8,"")&amp;IF($G8&lt;&gt;"",IF(LEFT(TRIM($M109),10)="CONSTRAINT"," ",",") &amp; TRIM($B8),"")</f>
        <v xml:space="preserve">                         --2</v>
      </c>
    </row>
    <row r="111" spans="1:22">
      <c r="B111" s="21"/>
      <c r="C111" s="97"/>
      <c r="D111" s="21"/>
      <c r="G111" s="29"/>
      <c r="M111" s="24" t="str">
        <f t="shared" si="4"/>
        <v xml:space="preserve">                         --3</v>
      </c>
    </row>
    <row r="112" spans="1:22">
      <c r="B112" s="31"/>
      <c r="C112" s="97"/>
      <c r="D112" s="21"/>
      <c r="G112" s="29"/>
      <c r="M112" s="24" t="str">
        <f t="shared" si="4"/>
        <v xml:space="preserve">                         --4</v>
      </c>
    </row>
    <row r="113" spans="2:17">
      <c r="B113" s="31"/>
      <c r="C113" s="97"/>
      <c r="D113" s="21"/>
      <c r="G113" s="29"/>
      <c r="M113" s="24" t="str">
        <f t="shared" si="4"/>
        <v xml:space="preserve">                         --5</v>
      </c>
    </row>
    <row r="114" spans="2:17">
      <c r="B114" s="31"/>
      <c r="C114" s="97"/>
      <c r="D114" s="21"/>
      <c r="M114" s="24" t="str">
        <f t="shared" si="4"/>
        <v xml:space="preserve">                         --6</v>
      </c>
    </row>
    <row r="115" spans="2:17">
      <c r="B115" s="21"/>
      <c r="C115" s="97"/>
      <c r="D115" s="59"/>
      <c r="M115" s="24" t="str">
        <f t="shared" si="4"/>
        <v xml:space="preserve">                         --7</v>
      </c>
    </row>
    <row r="116" spans="2:17">
      <c r="B116" s="21"/>
      <c r="C116" s="97"/>
      <c r="D116" s="59"/>
      <c r="M116" s="24" t="str">
        <f t="shared" si="4"/>
        <v xml:space="preserve">                         --8</v>
      </c>
    </row>
    <row r="117" spans="2:17">
      <c r="B117" s="21"/>
      <c r="C117" s="97"/>
      <c r="D117" s="59"/>
      <c r="M117" s="24" t="str">
        <f t="shared" si="4"/>
        <v xml:space="preserve">                         --9</v>
      </c>
    </row>
    <row r="118" spans="2:17">
      <c r="M118" s="24" t="str">
        <f>REPT(" ",25)&amp;IF($G16="","--"&amp;$A16,"")&amp;IF($G16&lt;&gt;"",IF(LEFT(TRIM($M117),10)="CONSTRAINT"," ",",") &amp; TRIM($B16),"")</f>
        <v xml:space="preserve">                         --10</v>
      </c>
    </row>
    <row r="119" spans="2:17">
      <c r="B119" s="20" t="s">
        <v>0</v>
      </c>
      <c r="M119" s="61" t="s">
        <v>272</v>
      </c>
    </row>
    <row r="120" spans="2:17">
      <c r="M120" s="26"/>
    </row>
    <row r="121" spans="2:17">
      <c r="M121" s="18" t="str">
        <f>IF(OR(TRIM(UPPER($I$5))="",TRIM(UPPER($I$5))="DEFAULT"),"","ALTER  TABLE  "&amp;$C$3&amp;"  STORAGE  (BUFFER_POOL  "&amp;UPPER($I$5)&amp;");  --KEEP | RECYCLE | DEFAULT")</f>
        <v/>
      </c>
    </row>
    <row r="122" spans="2:17">
      <c r="M122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'진열',                                                          'schema', 'dbo', 'table', 'Display';                  -- 테이블</v>
      </c>
      <c r="Q122" s="25"/>
    </row>
    <row r="123" spans="2:17">
      <c r="M123" s="24" t="str">
        <f>IF(TRIM($B7)="","-- "&amp;$A7&amp;",",IF(LEFT($B7,2)="--","-- "&amp;$A7&amp;",","")&amp;"EXEC sp_addextendedproperty 'MS_Description', '"&amp;TRIM($C7)&amp;IF($K7="","","("&amp;$K7&amp;")")&amp;"', "&amp;REPT(" ",60-LENB(TRIM($C7)&amp;IF($K7="","","("&amp;$K7&amp;")")))&amp;" 'schema', 'dbo', N'table', '"&amp;TRIM($C$3)&amp;"', 'column', '"&amp;TRIM($B7)&amp;"';"&amp;REPT(" ",20-LENB(TRIM($B7)))&amp;"-- 컬럼")</f>
        <v>EXEC sp_addextendedproperty 'MS_Description', '상점번호',                                                      'schema', 'dbo', N'table', 'Display', 'column', 'storeNumber';         -- 컬럼</v>
      </c>
      <c r="Q123" s="25"/>
    </row>
    <row r="124" spans="2:17">
      <c r="M124" s="24" t="str">
        <f t="shared" ref="M124:M187" si="5">IF(TRIM($B8)="","-- "&amp;$A8&amp;",",IF(LEFT($B8,2)="--","-- "&amp;$A8&amp;",","")&amp;"EXEC sp_addextendedproperty 'MS_Description', '"&amp;TRIM($C8)&amp;IF($K8="","","("&amp;$K8&amp;")")&amp;"', "&amp;REPT(" ",60-LENB(TRIM($C8)&amp;IF($K8="","","("&amp;$K8&amp;")")))&amp;" 'schema', 'dbo', N'table', '"&amp;TRIM($C$3)&amp;"', 'column', '"&amp;TRIM($B8)&amp;"';"&amp;REPT(" ",20-LENB(TRIM($B8)))&amp;"-- 컬럼")</f>
        <v>EXEC sp_addextendedproperty 'MS_Description', '상점명(AES256)',                                                'schema', 'dbo', N'table', 'Display', 'column', 'storeName';           -- 컬럼</v>
      </c>
      <c r="Q124" s="25"/>
    </row>
    <row r="125" spans="2:17">
      <c r="M125" s="24" t="str">
        <f t="shared" si="5"/>
        <v>EXEC sp_addextendedproperty 'MS_Description', '판매자명(AES256)',                                              'schema', 'dbo', N'table', 'Display', 'column', 'sellerName';          -- 컬럼</v>
      </c>
      <c r="Q125" s="25"/>
    </row>
    <row r="126" spans="2:17">
      <c r="M126" s="24" t="str">
        <f t="shared" si="5"/>
        <v>EXEC sp_addextendedproperty 'MS_Description', '별명(AES256)',                                                  'schema', 'dbo', N'table', 'Display', 'column', 'nickName';            -- 컬럼</v>
      </c>
      <c r="Q126" s="25"/>
    </row>
    <row r="127" spans="2:17">
      <c r="M127" s="24" t="str">
        <f t="shared" si="5"/>
        <v>EXEC sp_addextendedproperty 'MS_Description', '전화번호(AES256)',                                              'schema', 'dbo', N'table', 'Display', 'column', 'phoneNumber';         -- 컬럼</v>
      </c>
      <c r="Q127" s="25"/>
    </row>
    <row r="128" spans="2:17">
      <c r="M128" s="24" t="str">
        <f t="shared" si="5"/>
        <v>EXEC sp_addextendedproperty 'MS_Description', '이메일주소(AES256)',                                            'schema', 'dbo', N'table', 'Display', 'column', 'emailAddress';        -- 컬럼</v>
      </c>
      <c r="Q128" s="25"/>
    </row>
    <row r="129" spans="13:17">
      <c r="M129" s="24" t="str">
        <f t="shared" si="5"/>
        <v>EXEC sp_addextendedproperty 'MS_Description', '우편번호(지번)(AES256)',                                        'schema', 'dbo', N'table', 'Display', 'column', 'zipCode';             -- 컬럼</v>
      </c>
      <c r="Q129" s="25"/>
    </row>
    <row r="130" spans="13:17">
      <c r="M130" s="24" t="str">
        <f t="shared" si="5"/>
        <v>EXEC sp_addextendedproperty 'MS_Description', '우편번호(도로명)(AES256)',                                      'schema', 'dbo', N'table', 'Display', 'column', 'postalCode';          -- 컬럼</v>
      </c>
      <c r="Q130" s="25"/>
    </row>
    <row r="131" spans="13:17">
      <c r="M131" s="24" t="str">
        <f t="shared" si="5"/>
        <v>EXEC sp_addextendedproperty 'MS_Description', '기본주소(AES256)',                                              'schema', 'dbo', N'table', 'Display', 'column', 'baseAddress';         -- 컬럼</v>
      </c>
      <c r="Q131" s="25"/>
    </row>
    <row r="132" spans="13:17">
      <c r="M132" s="24" t="str">
        <f t="shared" si="5"/>
        <v>EXEC sp_addextendedproperty 'MS_Description', '판매가능지역(AES256, 읍면동)',                                  'schema', 'dbo', N'table', 'Display', 'column', 'availableArea';       -- 컬럼</v>
      </c>
      <c r="Q132" s="25"/>
    </row>
    <row r="133" spans="13:17">
      <c r="M133" s="24" t="str">
        <f t="shared" si="5"/>
        <v>EXEC sp_addextendedproperty 'MS_Description', '진열아이디(Y,N)',                                               'schema', 'dbo', N'table', 'Display', 'column', 'useAt';               -- 컬럼</v>
      </c>
      <c r="Q133" s="25"/>
    </row>
    <row r="134" spans="13:17">
      <c r="M134" s="24" t="str">
        <f t="shared" si="5"/>
        <v>EXEC sp_addextendedproperty 'MS_Description', '삭제여부(Y,N)',                                                 'schema', 'dbo', N'table', 'Display', 'column', 'delAt';               -- 컬럼</v>
      </c>
      <c r="Q134" s="25"/>
    </row>
    <row r="135" spans="13:17">
      <c r="M135" s="24" t="str">
        <f t="shared" si="5"/>
        <v>EXEC sp_addextendedproperty 'MS_Description', '생성자',                                                        'schema', 'dbo', N'table', 'Display', 'column', 'createId';            -- 컬럼</v>
      </c>
      <c r="Q135" s="25"/>
    </row>
    <row r="136" spans="13:17">
      <c r="M136" s="24" t="str">
        <f t="shared" si="5"/>
        <v>EXEC sp_addextendedproperty 'MS_Description', '생성 일시',                                                     'schema', 'dbo', N'table', 'Display', 'column', 'createDate';          -- 컬럼</v>
      </c>
      <c r="Q136" s="25"/>
    </row>
    <row r="137" spans="13:17">
      <c r="M137" s="24" t="str">
        <f t="shared" si="5"/>
        <v>EXEC sp_addextendedproperty 'MS_Description', '수정자',                                                        'schema', 'dbo', N'table', 'Display', 'column', 'updateId';            -- 컬럼</v>
      </c>
      <c r="Q137" s="25"/>
    </row>
    <row r="138" spans="13:17">
      <c r="M138" s="24" t="str">
        <f t="shared" si="5"/>
        <v>EXEC sp_addextendedproperty 'MS_Description', '갱신 일시',                                                     'schema', 'dbo', N'table', 'Display', 'column', 'updateDate';          -- 컬럼</v>
      </c>
      <c r="Q138" s="25"/>
    </row>
    <row r="139" spans="13:17">
      <c r="M139" s="24" t="str">
        <f t="shared" si="5"/>
        <v>-- 17,</v>
      </c>
      <c r="Q139" s="25"/>
    </row>
    <row r="140" spans="13:17">
      <c r="M140" s="24" t="str">
        <f t="shared" si="5"/>
        <v>-- 18,</v>
      </c>
      <c r="Q140" s="25"/>
    </row>
    <row r="141" spans="13:17">
      <c r="M141" s="24" t="str">
        <f t="shared" si="5"/>
        <v>-- 19,</v>
      </c>
      <c r="Q141" s="25"/>
    </row>
    <row r="142" spans="13:17">
      <c r="M142" s="24" t="str">
        <f t="shared" si="5"/>
        <v>-- 20,</v>
      </c>
      <c r="Q142" s="25"/>
    </row>
    <row r="143" spans="13:17">
      <c r="M143" s="24" t="str">
        <f t="shared" si="5"/>
        <v>-- 21,</v>
      </c>
      <c r="Q143" s="25"/>
    </row>
    <row r="144" spans="13:17">
      <c r="M144" s="24" t="str">
        <f t="shared" si="5"/>
        <v>-- 22,</v>
      </c>
      <c r="Q144" s="25"/>
    </row>
    <row r="145" spans="13:17">
      <c r="M145" s="24" t="str">
        <f t="shared" si="5"/>
        <v>-- 23,</v>
      </c>
      <c r="Q145" s="25"/>
    </row>
    <row r="146" spans="13:17">
      <c r="M146" s="24" t="str">
        <f t="shared" si="5"/>
        <v>-- 24,</v>
      </c>
      <c r="Q146" s="25"/>
    </row>
    <row r="147" spans="13:17">
      <c r="M147" s="24" t="str">
        <f t="shared" si="5"/>
        <v>-- 25,</v>
      </c>
      <c r="Q147" s="25"/>
    </row>
    <row r="148" spans="13:17">
      <c r="M148" s="24" t="str">
        <f t="shared" si="5"/>
        <v>-- 26,</v>
      </c>
      <c r="Q148" s="25"/>
    </row>
    <row r="149" spans="13:17">
      <c r="M149" s="24" t="str">
        <f t="shared" si="5"/>
        <v>-- 27,</v>
      </c>
      <c r="Q149" s="25"/>
    </row>
    <row r="150" spans="13:17">
      <c r="M150" s="24" t="str">
        <f t="shared" si="5"/>
        <v>-- 28,</v>
      </c>
      <c r="Q150" s="25"/>
    </row>
    <row r="151" spans="13:17">
      <c r="M151" s="24" t="str">
        <f t="shared" si="5"/>
        <v>-- 29,</v>
      </c>
      <c r="Q151" s="25"/>
    </row>
    <row r="152" spans="13:17">
      <c r="M152" s="24" t="str">
        <f t="shared" si="5"/>
        <v>-- 30,</v>
      </c>
      <c r="Q152" s="25"/>
    </row>
    <row r="153" spans="13:17">
      <c r="M153" s="24" t="str">
        <f t="shared" si="5"/>
        <v>-- 31,</v>
      </c>
      <c r="Q153" s="25"/>
    </row>
    <row r="154" spans="13:17">
      <c r="M154" s="24" t="str">
        <f t="shared" si="5"/>
        <v>-- 32,</v>
      </c>
      <c r="Q154" s="25"/>
    </row>
    <row r="155" spans="13:17">
      <c r="M155" s="24" t="str">
        <f t="shared" si="5"/>
        <v>-- 33,</v>
      </c>
      <c r="Q155" s="25"/>
    </row>
    <row r="156" spans="13:17">
      <c r="M156" s="24" t="str">
        <f t="shared" si="5"/>
        <v>-- 34,</v>
      </c>
      <c r="Q156" s="25"/>
    </row>
    <row r="157" spans="13:17">
      <c r="M157" s="24" t="str">
        <f t="shared" si="5"/>
        <v>-- 35,</v>
      </c>
      <c r="Q157" s="25"/>
    </row>
    <row r="158" spans="13:17">
      <c r="M158" s="24" t="str">
        <f t="shared" si="5"/>
        <v>-- 36,</v>
      </c>
      <c r="Q158" s="25"/>
    </row>
    <row r="159" spans="13:17">
      <c r="M159" s="24" t="str">
        <f t="shared" si="5"/>
        <v>-- 37,</v>
      </c>
      <c r="Q159" s="25"/>
    </row>
    <row r="160" spans="13:17">
      <c r="M160" s="24" t="str">
        <f t="shared" si="5"/>
        <v>-- 38,</v>
      </c>
      <c r="Q160" s="25"/>
    </row>
    <row r="161" spans="12:17">
      <c r="M161" s="24" t="str">
        <f t="shared" si="5"/>
        <v>-- 39,</v>
      </c>
      <c r="Q161" s="25"/>
    </row>
    <row r="162" spans="12:17">
      <c r="M162" s="24" t="str">
        <f t="shared" si="5"/>
        <v>-- 40,</v>
      </c>
      <c r="Q162" s="25"/>
    </row>
    <row r="163" spans="12:17">
      <c r="M163" s="24" t="str">
        <f t="shared" si="5"/>
        <v>-- 41,</v>
      </c>
      <c r="Q163" s="25"/>
    </row>
    <row r="164" spans="12:17">
      <c r="M164" s="24" t="str">
        <f t="shared" si="5"/>
        <v>-- 42,</v>
      </c>
      <c r="Q164" s="25"/>
    </row>
    <row r="165" spans="12:17">
      <c r="M165" s="24" t="str">
        <f t="shared" si="5"/>
        <v>-- 43,</v>
      </c>
      <c r="Q165" s="25"/>
    </row>
    <row r="166" spans="12:17">
      <c r="M166" s="24" t="str">
        <f t="shared" si="5"/>
        <v>-- 44,</v>
      </c>
      <c r="Q166" s="25"/>
    </row>
    <row r="167" spans="12:17">
      <c r="M167" s="24" t="str">
        <f t="shared" si="5"/>
        <v>-- 45,</v>
      </c>
      <c r="Q167" s="25"/>
    </row>
    <row r="168" spans="12:17">
      <c r="M168" s="24" t="str">
        <f t="shared" si="5"/>
        <v>-- 46,</v>
      </c>
      <c r="Q168" s="25"/>
    </row>
    <row r="169" spans="12:17">
      <c r="M169" s="24" t="str">
        <f t="shared" si="5"/>
        <v>-- 47,</v>
      </c>
      <c r="Q169" s="25"/>
    </row>
    <row r="170" spans="12:17">
      <c r="M170" s="24" t="str">
        <f t="shared" si="5"/>
        <v>-- 48,</v>
      </c>
      <c r="Q170" s="25"/>
    </row>
    <row r="171" spans="12:17">
      <c r="M171" s="24" t="str">
        <f t="shared" si="5"/>
        <v>-- 49,</v>
      </c>
      <c r="Q171" s="25"/>
    </row>
    <row r="172" spans="12:17">
      <c r="M172" s="24" t="str">
        <f t="shared" si="5"/>
        <v>-- 50,</v>
      </c>
    </row>
    <row r="173" spans="12:17">
      <c r="L173" s="24"/>
      <c r="M173" s="24" t="str">
        <f t="shared" si="5"/>
        <v>-- 51,</v>
      </c>
    </row>
    <row r="174" spans="12:17">
      <c r="L174" s="24"/>
      <c r="M174" s="24" t="str">
        <f t="shared" si="5"/>
        <v>-- 52,</v>
      </c>
    </row>
    <row r="175" spans="12:17">
      <c r="L175" s="24"/>
      <c r="M175" s="24" t="str">
        <f t="shared" si="5"/>
        <v>-- 53,</v>
      </c>
    </row>
    <row r="176" spans="12:17">
      <c r="L176" s="24"/>
      <c r="M176" s="24" t="str">
        <f t="shared" si="5"/>
        <v>-- 54,</v>
      </c>
    </row>
    <row r="177" spans="12:13">
      <c r="L177" s="24"/>
      <c r="M177" s="24" t="str">
        <f t="shared" si="5"/>
        <v>-- 55,</v>
      </c>
    </row>
    <row r="178" spans="12:13">
      <c r="L178" s="24"/>
      <c r="M178" s="24" t="str">
        <f t="shared" si="5"/>
        <v>-- 56,</v>
      </c>
    </row>
    <row r="179" spans="12:13">
      <c r="L179" s="24"/>
      <c r="M179" s="24" t="str">
        <f t="shared" si="5"/>
        <v>-- 57,</v>
      </c>
    </row>
    <row r="180" spans="12:13">
      <c r="L180" s="24"/>
      <c r="M180" s="24" t="str">
        <f t="shared" si="5"/>
        <v>-- 58,</v>
      </c>
    </row>
    <row r="181" spans="12:13">
      <c r="L181" s="24"/>
      <c r="M181" s="24" t="str">
        <f t="shared" si="5"/>
        <v>-- 59,</v>
      </c>
    </row>
    <row r="182" spans="12:13">
      <c r="L182" s="24"/>
      <c r="M182" s="24" t="str">
        <f t="shared" si="5"/>
        <v>-- 60,</v>
      </c>
    </row>
    <row r="183" spans="12:13">
      <c r="L183" s="24"/>
      <c r="M183" s="24" t="str">
        <f t="shared" si="5"/>
        <v>-- 61,</v>
      </c>
    </row>
    <row r="184" spans="12:13">
      <c r="L184" s="24"/>
      <c r="M184" s="24" t="str">
        <f t="shared" si="5"/>
        <v>-- 62,</v>
      </c>
    </row>
    <row r="185" spans="12:13">
      <c r="L185" s="24"/>
      <c r="M185" s="24" t="str">
        <f t="shared" si="5"/>
        <v>-- 63,</v>
      </c>
    </row>
    <row r="186" spans="12:13">
      <c r="L186" s="24"/>
      <c r="M186" s="24" t="str">
        <f t="shared" si="5"/>
        <v>-- 64,</v>
      </c>
    </row>
    <row r="187" spans="12:13">
      <c r="L187" s="24"/>
      <c r="M187" s="24" t="str">
        <f t="shared" si="5"/>
        <v>-- 65,</v>
      </c>
    </row>
    <row r="188" spans="12:13">
      <c r="L188" s="24"/>
      <c r="M188" s="24" t="str">
        <f t="shared" ref="M188:M222" si="6">IF(TRIM($B72)="","-- "&amp;$A72&amp;",",IF(LEFT($B72,2)="--","-- "&amp;$A72&amp;",","")&amp;"EXEC sp_addextendedproperty 'MS_Description', '"&amp;TRIM($C72)&amp;IF($K72="","","("&amp;$K72&amp;")")&amp;"', "&amp;REPT(" ",60-LENB(TRIM($C72)&amp;IF($K72="","","("&amp;$K72&amp;")")))&amp;" 'schema', 'dbo', N'table', '"&amp;TRIM($C$3)&amp;"', 'column', '"&amp;TRIM($B72)&amp;"';"&amp;REPT(" ",20-LENB(TRIM($B72)))&amp;"-- 컬럼")</f>
        <v>-- 66,</v>
      </c>
    </row>
    <row r="189" spans="12:13">
      <c r="L189" s="24"/>
      <c r="M189" s="24" t="str">
        <f t="shared" si="6"/>
        <v>-- 67,</v>
      </c>
    </row>
    <row r="190" spans="12:13">
      <c r="L190" s="24"/>
      <c r="M190" s="24" t="str">
        <f t="shared" si="6"/>
        <v>-- 68,</v>
      </c>
    </row>
    <row r="191" spans="12:13">
      <c r="L191" s="24"/>
      <c r="M191" s="24" t="str">
        <f t="shared" si="6"/>
        <v>-- 69,</v>
      </c>
    </row>
    <row r="192" spans="12:13">
      <c r="L192" s="24"/>
      <c r="M192" s="24" t="str">
        <f t="shared" si="6"/>
        <v>-- 70,</v>
      </c>
    </row>
    <row r="193" spans="12:13">
      <c r="L193" s="24"/>
      <c r="M193" s="24" t="str">
        <f t="shared" si="6"/>
        <v>-- 71,</v>
      </c>
    </row>
    <row r="194" spans="12:13">
      <c r="L194" s="24"/>
      <c r="M194" s="24" t="str">
        <f t="shared" si="6"/>
        <v>-- 72,</v>
      </c>
    </row>
    <row r="195" spans="12:13">
      <c r="L195" s="24"/>
      <c r="M195" s="24" t="str">
        <f t="shared" si="6"/>
        <v>-- 73,</v>
      </c>
    </row>
    <row r="196" spans="12:13">
      <c r="L196" s="24"/>
      <c r="M196" s="24" t="str">
        <f t="shared" si="6"/>
        <v>-- 74,</v>
      </c>
    </row>
    <row r="197" spans="12:13">
      <c r="L197" s="24"/>
      <c r="M197" s="24" t="str">
        <f t="shared" si="6"/>
        <v>-- 75,</v>
      </c>
    </row>
    <row r="198" spans="12:13">
      <c r="L198" s="24"/>
      <c r="M198" s="24" t="str">
        <f t="shared" si="6"/>
        <v>-- 76,</v>
      </c>
    </row>
    <row r="199" spans="12:13">
      <c r="L199" s="24"/>
      <c r="M199" s="24" t="str">
        <f t="shared" si="6"/>
        <v>-- 77,</v>
      </c>
    </row>
    <row r="200" spans="12:13">
      <c r="L200" s="24"/>
      <c r="M200" s="24" t="str">
        <f t="shared" si="6"/>
        <v>-- 78,</v>
      </c>
    </row>
    <row r="201" spans="12:13">
      <c r="L201" s="24"/>
      <c r="M201" s="24" t="str">
        <f t="shared" si="6"/>
        <v>-- 79,</v>
      </c>
    </row>
    <row r="202" spans="12:13">
      <c r="L202" s="24"/>
      <c r="M202" s="24" t="str">
        <f t="shared" si="6"/>
        <v>-- 80,</v>
      </c>
    </row>
    <row r="203" spans="12:13">
      <c r="L203" s="24"/>
      <c r="M203" s="24" t="str">
        <f t="shared" si="6"/>
        <v>-- 81,</v>
      </c>
    </row>
    <row r="204" spans="12:13">
      <c r="L204" s="24"/>
      <c r="M204" s="24" t="str">
        <f t="shared" si="6"/>
        <v>-- 82,</v>
      </c>
    </row>
    <row r="205" spans="12:13">
      <c r="L205" s="24"/>
      <c r="M205" s="24" t="str">
        <f t="shared" si="6"/>
        <v>-- 83,</v>
      </c>
    </row>
    <row r="206" spans="12:13">
      <c r="L206" s="24"/>
      <c r="M206" s="24" t="str">
        <f t="shared" si="6"/>
        <v>-- 84,</v>
      </c>
    </row>
    <row r="207" spans="12:13">
      <c r="L207" s="24"/>
      <c r="M207" s="24" t="str">
        <f t="shared" si="6"/>
        <v>-- 85,</v>
      </c>
    </row>
    <row r="208" spans="12:13">
      <c r="L208" s="24"/>
      <c r="M208" s="24" t="str">
        <f t="shared" si="6"/>
        <v>-- 86,</v>
      </c>
    </row>
    <row r="209" spans="12:13">
      <c r="L209" s="24"/>
      <c r="M209" s="24" t="str">
        <f t="shared" si="6"/>
        <v>-- 87,</v>
      </c>
    </row>
    <row r="210" spans="12:13">
      <c r="L210" s="24"/>
      <c r="M210" s="24" t="str">
        <f t="shared" si="6"/>
        <v>-- 88,</v>
      </c>
    </row>
    <row r="211" spans="12:13">
      <c r="L211" s="24"/>
      <c r="M211" s="24" t="str">
        <f t="shared" si="6"/>
        <v>-- 89,</v>
      </c>
    </row>
    <row r="212" spans="12:13">
      <c r="L212" s="24"/>
      <c r="M212" s="24" t="str">
        <f t="shared" si="6"/>
        <v>-- 90,</v>
      </c>
    </row>
    <row r="213" spans="12:13">
      <c r="L213" s="24"/>
      <c r="M213" s="24" t="str">
        <f t="shared" si="6"/>
        <v>-- 91,</v>
      </c>
    </row>
    <row r="214" spans="12:13">
      <c r="L214" s="24"/>
      <c r="M214" s="24" t="str">
        <f t="shared" si="6"/>
        <v>-- 92,</v>
      </c>
    </row>
    <row r="215" spans="12:13">
      <c r="L215" s="24"/>
      <c r="M215" s="24" t="str">
        <f t="shared" si="6"/>
        <v>-- 93,</v>
      </c>
    </row>
    <row r="216" spans="12:13">
      <c r="L216" s="24"/>
      <c r="M216" s="24" t="str">
        <f t="shared" si="6"/>
        <v>-- 94,</v>
      </c>
    </row>
    <row r="217" spans="12:13">
      <c r="L217" s="24"/>
      <c r="M217" s="24" t="str">
        <f t="shared" si="6"/>
        <v>-- 95,</v>
      </c>
    </row>
    <row r="218" spans="12:13">
      <c r="L218" s="24"/>
      <c r="M218" s="24" t="str">
        <f t="shared" si="6"/>
        <v>-- 96,</v>
      </c>
    </row>
    <row r="219" spans="12:13">
      <c r="L219" s="24"/>
      <c r="M219" s="24" t="str">
        <f t="shared" si="6"/>
        <v>-- 97,</v>
      </c>
    </row>
    <row r="220" spans="12:13">
      <c r="L220" s="24"/>
      <c r="M220" s="24" t="str">
        <f t="shared" si="6"/>
        <v>-- 98,</v>
      </c>
    </row>
    <row r="221" spans="12:13">
      <c r="L221" s="24"/>
      <c r="M221" s="24" t="str">
        <f t="shared" si="6"/>
        <v>-- 99,</v>
      </c>
    </row>
    <row r="222" spans="12:13">
      <c r="L222" s="24"/>
      <c r="M222" s="24" t="str">
        <f t="shared" si="6"/>
        <v>-- 100,</v>
      </c>
    </row>
    <row r="223" spans="12:13">
      <c r="L223" s="24"/>
      <c r="M223" s="24"/>
    </row>
    <row r="224" spans="12:13">
      <c r="L224" s="24"/>
      <c r="M224" s="18" t="s">
        <v>651</v>
      </c>
    </row>
    <row r="225" spans="12:13">
      <c r="L225" s="24"/>
      <c r="M225" s="24" t="str">
        <f>REPT(" ",6)&amp;IF(ISBLANK($B7),"--"&amp;$A7,
LEFT(SUBSTITUTE($B7," ","*")&amp;
REPT(" ",30),30)&amp;
LEFT(IF(ISBLANK($D7),"",IF(OR(UPPER($D7)="DATE",UPPER($D7)="CLOB",UPPER($D7)="BLOB",UPPER($D7)="LONG",UPPER($D7)="TIMESTAMP"),UPPER($D7),IF(ISBLANK($E7),UPPER($D7),UPPER($D7)&amp;"("&amp;$E7&amp;")")))&amp;REPT(" ",15),15)&amp;
LEFT(IF(ISBLANK($F7),"","DEFAULT  "&amp;$F7)&amp;REPT(" ",19),19)&amp;
LEFT(IF(ISBLANK($J7),""," identity(" &amp; $J7 &amp; ") ")&amp;REPT(" ",17),17)&amp;
LEFT(IF(ISBLANK($H7),""," NOT NULL")&amp;REPT(" ",9),9)&amp;
IF(AND(ISBLANK(G$7),ISBLANK($B8)),"",","))</f>
        <v xml:space="preserve">      storeNumber                   VARCHAR(256)                                                ,</v>
      </c>
    </row>
    <row r="226" spans="12:13">
      <c r="L226" s="24"/>
      <c r="M226" s="24" t="str">
        <f>IF(TRIM($B110)="","-- "&amp;$A110&amp;",",IF(LEFT($B110,2)="--","-- "&amp;$A110&amp;",","")&amp;"EXEC sp_addextendedproperty 'MS_Description', '"&amp;TRIM($C110)&amp;IF($K110="","","("&amp;$K110&amp;")")&amp;"', "&amp;REPT(" ",60-LENB(TRIM($C110)&amp;IF($K110="","","("&amp;$K110&amp;")")))&amp;" 'schema', 'dbo', N'table', '"&amp;TRIM($C$3)&amp;"', 'column', '"&amp;TRIM($B110)&amp;"';"&amp;REPT(" ",20-LENB(TRIM($B110)))&amp;"-- 컬럼")</f>
        <v>-- ,</v>
      </c>
    </row>
    <row r="227" spans="12:13">
      <c r="L227" s="24"/>
      <c r="M227" s="24" t="str">
        <f t="shared" ref="M227:M290" si="7">IF(TRIM($B111)="","-- "&amp;$A111&amp;",",IF(LEFT($B111,2)="--","-- "&amp;$A111&amp;",","")&amp;"EXEC sp_addextendedproperty 'MS_Description', '"&amp;TRIM($C111)&amp;IF($K111="","","("&amp;$K111&amp;")")&amp;"', "&amp;REPT(" ",60-LENB(TRIM($C111)&amp;IF($K111="","","("&amp;$K111&amp;")")))&amp;" 'schema', 'dbo', N'table', '"&amp;TRIM($C$3)&amp;"', 'column', '"&amp;TRIM($B111)&amp;"';"&amp;REPT(" ",20-LENB(TRIM($B111)))&amp;"-- 컬럼")</f>
        <v>-- ,</v>
      </c>
    </row>
    <row r="228" spans="12:13">
      <c r="L228" s="24"/>
      <c r="M228" s="24" t="str">
        <f t="shared" si="7"/>
        <v>-- ,</v>
      </c>
    </row>
    <row r="229" spans="12:13">
      <c r="L229" s="24"/>
      <c r="M229" s="24" t="str">
        <f t="shared" si="7"/>
        <v>-- ,</v>
      </c>
    </row>
    <row r="230" spans="12:13">
      <c r="L230" s="24"/>
      <c r="M230" s="24" t="str">
        <f t="shared" si="7"/>
        <v>-- ,</v>
      </c>
    </row>
    <row r="231" spans="12:13">
      <c r="L231" s="24"/>
      <c r="M231" s="24" t="str">
        <f t="shared" si="7"/>
        <v>-- ,</v>
      </c>
    </row>
    <row r="232" spans="12:13">
      <c r="L232" s="24"/>
      <c r="M232" s="24" t="str">
        <f t="shared" si="7"/>
        <v>-- ,</v>
      </c>
    </row>
    <row r="233" spans="12:13">
      <c r="L233" s="24"/>
      <c r="M233" s="24" t="str">
        <f t="shared" si="7"/>
        <v>-- ,</v>
      </c>
    </row>
    <row r="234" spans="12:13">
      <c r="L234" s="24"/>
      <c r="M234" s="24" t="str">
        <f t="shared" si="7"/>
        <v>-- ,</v>
      </c>
    </row>
    <row r="235" spans="12:13">
      <c r="L235" s="24"/>
      <c r="M235" s="24" t="str">
        <f t="shared" si="7"/>
        <v>EXEC sp_addextendedproperty 'MS_Description', '',                                                              'schema', 'dbo', N'table', 'Display', 'column', '*초기데이터';         -- 컬럼</v>
      </c>
    </row>
    <row r="236" spans="12:13">
      <c r="L236" s="24"/>
      <c r="M236" s="24" t="str">
        <f t="shared" si="7"/>
        <v>-- ,</v>
      </c>
    </row>
    <row r="237" spans="12:13">
      <c r="L237" s="24"/>
      <c r="M237" s="24" t="str">
        <f t="shared" si="7"/>
        <v>-- ,</v>
      </c>
    </row>
    <row r="238" spans="12:13">
      <c r="L238" s="24"/>
      <c r="M238" s="24" t="str">
        <f t="shared" si="7"/>
        <v>-- ,</v>
      </c>
    </row>
    <row r="239" spans="12:13">
      <c r="L239" s="24"/>
      <c r="M239" s="24" t="str">
        <f t="shared" si="7"/>
        <v>-- ,</v>
      </c>
    </row>
    <row r="240" spans="12:13">
      <c r="L240" s="24"/>
      <c r="M240" s="24" t="str">
        <f t="shared" si="7"/>
        <v>-- ,</v>
      </c>
    </row>
    <row r="241" spans="12:13">
      <c r="L241" s="24"/>
      <c r="M241" s="24" t="str">
        <f t="shared" si="7"/>
        <v>-- ,</v>
      </c>
    </row>
    <row r="242" spans="12:13">
      <c r="L242" s="24"/>
      <c r="M242" s="24" t="str">
        <f t="shared" si="7"/>
        <v>-- ,</v>
      </c>
    </row>
    <row r="243" spans="12:13">
      <c r="L243" s="24"/>
      <c r="M243" s="24" t="str">
        <f t="shared" si="7"/>
        <v>-- ,</v>
      </c>
    </row>
    <row r="244" spans="12:13">
      <c r="L244" s="24"/>
      <c r="M244" s="24" t="str">
        <f t="shared" si="7"/>
        <v>-- ,</v>
      </c>
    </row>
    <row r="245" spans="12:13">
      <c r="L245" s="24"/>
      <c r="M245" s="24" t="str">
        <f t="shared" si="7"/>
        <v>-- ,</v>
      </c>
    </row>
    <row r="246" spans="12:13">
      <c r="L246" s="24"/>
      <c r="M246" s="24" t="str">
        <f t="shared" si="7"/>
        <v>-- ,</v>
      </c>
    </row>
    <row r="247" spans="12:13">
      <c r="L247" s="24"/>
      <c r="M247" s="24" t="str">
        <f t="shared" si="7"/>
        <v>-- ,</v>
      </c>
    </row>
    <row r="248" spans="12:13">
      <c r="L248" s="24"/>
      <c r="M248" s="24" t="str">
        <f t="shared" si="7"/>
        <v>-- ,</v>
      </c>
    </row>
    <row r="249" spans="12:13">
      <c r="L249" s="24"/>
      <c r="M249" s="24" t="str">
        <f t="shared" si="7"/>
        <v>-- ,</v>
      </c>
    </row>
    <row r="250" spans="12:13">
      <c r="L250" s="24"/>
      <c r="M250" s="24" t="str">
        <f t="shared" si="7"/>
        <v>-- ,</v>
      </c>
    </row>
    <row r="251" spans="12:13">
      <c r="L251" s="24"/>
      <c r="M251" s="24" t="str">
        <f t="shared" si="7"/>
        <v>-- ,</v>
      </c>
    </row>
    <row r="252" spans="12:13">
      <c r="L252" s="24"/>
      <c r="M252" s="24" t="str">
        <f t="shared" si="7"/>
        <v>-- ,</v>
      </c>
    </row>
    <row r="253" spans="12:13">
      <c r="L253" s="24"/>
      <c r="M253" s="24" t="str">
        <f t="shared" si="7"/>
        <v>-- ,</v>
      </c>
    </row>
    <row r="254" spans="12:13">
      <c r="L254" s="24"/>
      <c r="M254" s="24" t="str">
        <f t="shared" si="7"/>
        <v>-- ,</v>
      </c>
    </row>
    <row r="255" spans="12:13">
      <c r="L255" s="24"/>
      <c r="M255" s="24" t="str">
        <f t="shared" si="7"/>
        <v>-- ,</v>
      </c>
    </row>
    <row r="256" spans="12:13">
      <c r="L256" s="24"/>
      <c r="M256" s="24" t="str">
        <f t="shared" si="7"/>
        <v>-- ,</v>
      </c>
    </row>
    <row r="257" spans="12:13">
      <c r="L257" s="24"/>
      <c r="M257" s="24" t="str">
        <f t="shared" si="7"/>
        <v>-- ,</v>
      </c>
    </row>
    <row r="258" spans="12:13">
      <c r="L258" s="24"/>
      <c r="M258" s="24" t="str">
        <f t="shared" si="7"/>
        <v>-- ,</v>
      </c>
    </row>
    <row r="259" spans="12:13">
      <c r="L259" s="24"/>
      <c r="M259" s="24" t="str">
        <f t="shared" si="7"/>
        <v>-- ,</v>
      </c>
    </row>
    <row r="260" spans="12:13">
      <c r="L260" s="24"/>
      <c r="M260" s="24" t="str">
        <f t="shared" si="7"/>
        <v>-- ,</v>
      </c>
    </row>
    <row r="261" spans="12:13">
      <c r="L261" s="24"/>
      <c r="M261" s="24" t="str">
        <f t="shared" si="7"/>
        <v>-- ,</v>
      </c>
    </row>
    <row r="262" spans="12:13">
      <c r="L262" s="24"/>
      <c r="M262" s="24" t="str">
        <f t="shared" si="7"/>
        <v>-- ,</v>
      </c>
    </row>
    <row r="263" spans="12:13">
      <c r="L263" s="24"/>
      <c r="M263" s="24" t="str">
        <f t="shared" si="7"/>
        <v>-- ,</v>
      </c>
    </row>
    <row r="264" spans="12:13">
      <c r="L264" s="24"/>
      <c r="M264" s="24" t="str">
        <f t="shared" si="7"/>
        <v>-- ,</v>
      </c>
    </row>
    <row r="265" spans="12:13">
      <c r="L265" s="24"/>
      <c r="M265" s="24" t="str">
        <f t="shared" si="7"/>
        <v>-- ,</v>
      </c>
    </row>
    <row r="266" spans="12:13">
      <c r="L266" s="24"/>
      <c r="M266" s="24" t="str">
        <f t="shared" si="7"/>
        <v>-- ,</v>
      </c>
    </row>
    <row r="267" spans="12:13">
      <c r="L267" s="24"/>
      <c r="M267" s="24" t="str">
        <f t="shared" si="7"/>
        <v>-- ,</v>
      </c>
    </row>
    <row r="268" spans="12:13">
      <c r="L268" s="24"/>
      <c r="M268" s="24" t="str">
        <f t="shared" si="7"/>
        <v>-- ,</v>
      </c>
    </row>
    <row r="269" spans="12:13">
      <c r="L269" s="24"/>
      <c r="M269" s="24" t="str">
        <f t="shared" si="7"/>
        <v>-- ,</v>
      </c>
    </row>
    <row r="270" spans="12:13">
      <c r="L270" s="24"/>
      <c r="M270" s="24" t="str">
        <f t="shared" si="7"/>
        <v>-- ,</v>
      </c>
    </row>
    <row r="271" spans="12:13">
      <c r="L271" s="24"/>
      <c r="M271" s="24" t="str">
        <f t="shared" si="7"/>
        <v>-- ,</v>
      </c>
    </row>
    <row r="272" spans="12:13">
      <c r="L272" s="24"/>
      <c r="M272" s="24" t="str">
        <f t="shared" si="7"/>
        <v>-- ,</v>
      </c>
    </row>
    <row r="273" spans="12:13">
      <c r="L273" s="24"/>
      <c r="M273" s="24" t="str">
        <f t="shared" si="7"/>
        <v>-- ,</v>
      </c>
    </row>
    <row r="274" spans="12:13">
      <c r="L274" s="24"/>
      <c r="M274" s="24" t="str">
        <f t="shared" si="7"/>
        <v>-- ,</v>
      </c>
    </row>
    <row r="275" spans="12:13">
      <c r="L275" s="24"/>
      <c r="M275" s="24" t="str">
        <f t="shared" si="7"/>
        <v>-- ,</v>
      </c>
    </row>
    <row r="276" spans="12:13">
      <c r="L276" s="24"/>
      <c r="M276" s="24" t="str">
        <f t="shared" si="7"/>
        <v>-- ,</v>
      </c>
    </row>
    <row r="277" spans="12:13">
      <c r="L277" s="24"/>
      <c r="M277" s="24" t="str">
        <f t="shared" si="7"/>
        <v>-- ,</v>
      </c>
    </row>
    <row r="278" spans="12:13">
      <c r="L278" s="24"/>
      <c r="M278" s="24" t="str">
        <f t="shared" si="7"/>
        <v>-- ,</v>
      </c>
    </row>
    <row r="279" spans="12:13">
      <c r="L279" s="24"/>
      <c r="M279" s="24" t="str">
        <f t="shared" si="7"/>
        <v>-- ,</v>
      </c>
    </row>
    <row r="280" spans="12:13">
      <c r="L280" s="24"/>
      <c r="M280" s="24" t="str">
        <f t="shared" si="7"/>
        <v>-- ,</v>
      </c>
    </row>
    <row r="281" spans="12:13">
      <c r="L281" s="24"/>
      <c r="M281" s="24" t="str">
        <f t="shared" si="7"/>
        <v>-- ,</v>
      </c>
    </row>
    <row r="282" spans="12:13">
      <c r="L282" s="24"/>
      <c r="M282" s="24" t="str">
        <f t="shared" si="7"/>
        <v>-- ,</v>
      </c>
    </row>
    <row r="283" spans="12:13">
      <c r="L283" s="24"/>
      <c r="M283" s="24" t="str">
        <f t="shared" si="7"/>
        <v>-- ,</v>
      </c>
    </row>
    <row r="284" spans="12:13">
      <c r="L284" s="24"/>
      <c r="M284" s="24" t="str">
        <f t="shared" si="7"/>
        <v>-- ,</v>
      </c>
    </row>
    <row r="285" spans="12:13">
      <c r="L285" s="24"/>
      <c r="M285" s="24" t="str">
        <f t="shared" si="7"/>
        <v>-- ,</v>
      </c>
    </row>
    <row r="286" spans="12:13">
      <c r="L286" s="24"/>
      <c r="M286" s="24" t="str">
        <f t="shared" si="7"/>
        <v>-- ,</v>
      </c>
    </row>
    <row r="287" spans="12:13">
      <c r="L287" s="24"/>
      <c r="M287" s="24" t="str">
        <f t="shared" si="7"/>
        <v>-- ,</v>
      </c>
    </row>
    <row r="288" spans="12:13">
      <c r="L288" s="24"/>
      <c r="M288" s="24" t="str">
        <f t="shared" si="7"/>
        <v>-- ,</v>
      </c>
    </row>
    <row r="289" spans="12:13">
      <c r="L289" s="24"/>
      <c r="M289" s="24" t="str">
        <f t="shared" si="7"/>
        <v>-- ,</v>
      </c>
    </row>
    <row r="290" spans="12:13">
      <c r="L290" s="24"/>
      <c r="M290" s="24" t="str">
        <f t="shared" si="7"/>
        <v>-- ,</v>
      </c>
    </row>
    <row r="291" spans="12:13">
      <c r="L291" s="24"/>
      <c r="M291" s="24" t="str">
        <f t="shared" ref="M291:M324" si="8">IF(TRIM($B175)="","-- "&amp;$A175&amp;",",IF(LEFT($B175,2)="--","-- "&amp;$A175&amp;",","")&amp;"EXEC sp_addextendedproperty 'MS_Description', '"&amp;TRIM($C175)&amp;IF($K175="","","("&amp;$K175&amp;")")&amp;"', "&amp;REPT(" ",60-LENB(TRIM($C175)&amp;IF($K175="","","("&amp;$K175&amp;")")))&amp;" 'schema', 'dbo', N'table', '"&amp;TRIM($C$3)&amp;"', 'column', '"&amp;TRIM($B175)&amp;"';"&amp;REPT(" ",20-LENB(TRIM($B175)))&amp;"-- 컬럼")</f>
        <v>-- ,</v>
      </c>
    </row>
    <row r="292" spans="12:13">
      <c r="L292" s="24"/>
      <c r="M292" s="24" t="str">
        <f t="shared" si="8"/>
        <v>-- ,</v>
      </c>
    </row>
    <row r="293" spans="12:13">
      <c r="L293" s="24"/>
      <c r="M293" s="24" t="str">
        <f t="shared" si="8"/>
        <v>-- ,</v>
      </c>
    </row>
    <row r="294" spans="12:13">
      <c r="L294" s="24"/>
      <c r="M294" s="24" t="str">
        <f t="shared" si="8"/>
        <v>-- ,</v>
      </c>
    </row>
    <row r="295" spans="12:13">
      <c r="L295" s="24"/>
      <c r="M295" s="24" t="str">
        <f t="shared" si="8"/>
        <v>-- ,</v>
      </c>
    </row>
    <row r="296" spans="12:13">
      <c r="L296" s="24"/>
      <c r="M296" s="24" t="str">
        <f t="shared" si="8"/>
        <v>-- ,</v>
      </c>
    </row>
    <row r="297" spans="12:13">
      <c r="L297" s="24"/>
      <c r="M297" s="24" t="str">
        <f t="shared" si="8"/>
        <v>-- ,</v>
      </c>
    </row>
    <row r="298" spans="12:13">
      <c r="L298" s="24"/>
      <c r="M298" s="24" t="str">
        <f t="shared" si="8"/>
        <v>-- ,</v>
      </c>
    </row>
    <row r="299" spans="12:13">
      <c r="L299" s="24"/>
      <c r="M299" s="24" t="str">
        <f t="shared" si="8"/>
        <v>-- ,</v>
      </c>
    </row>
    <row r="300" spans="12:13">
      <c r="L300" s="24"/>
      <c r="M300" s="24" t="str">
        <f t="shared" si="8"/>
        <v>-- ,</v>
      </c>
    </row>
    <row r="301" spans="12:13">
      <c r="L301" s="24"/>
      <c r="M301" s="24" t="str">
        <f t="shared" si="8"/>
        <v>-- ,</v>
      </c>
    </row>
    <row r="302" spans="12:13">
      <c r="L302" s="24"/>
      <c r="M302" s="24" t="str">
        <f t="shared" si="8"/>
        <v>-- ,</v>
      </c>
    </row>
    <row r="303" spans="12:13">
      <c r="L303" s="24"/>
      <c r="M303" s="24" t="str">
        <f t="shared" si="8"/>
        <v>-- ,</v>
      </c>
    </row>
    <row r="304" spans="12:13">
      <c r="L304" s="24"/>
      <c r="M304" s="24" t="str">
        <f t="shared" si="8"/>
        <v>-- ,</v>
      </c>
    </row>
    <row r="305" spans="12:13">
      <c r="L305" s="24"/>
      <c r="M305" s="24" t="str">
        <f t="shared" si="8"/>
        <v>-- ,</v>
      </c>
    </row>
    <row r="306" spans="12:13">
      <c r="L306" s="24"/>
      <c r="M306" s="24" t="str">
        <f t="shared" si="8"/>
        <v>-- ,</v>
      </c>
    </row>
    <row r="307" spans="12:13">
      <c r="L307" s="24"/>
      <c r="M307" s="24" t="str">
        <f t="shared" si="8"/>
        <v>-- ,</v>
      </c>
    </row>
    <row r="308" spans="12:13">
      <c r="L308" s="24"/>
      <c r="M308" s="24" t="str">
        <f t="shared" si="8"/>
        <v>-- ,</v>
      </c>
    </row>
    <row r="309" spans="12:13">
      <c r="L309" s="24"/>
      <c r="M309" s="24" t="str">
        <f t="shared" si="8"/>
        <v>-- ,</v>
      </c>
    </row>
    <row r="310" spans="12:13">
      <c r="L310" s="24"/>
      <c r="M310" s="24" t="str">
        <f t="shared" si="8"/>
        <v>-- ,</v>
      </c>
    </row>
    <row r="311" spans="12:13">
      <c r="L311" s="24"/>
      <c r="M311" s="24" t="str">
        <f t="shared" si="8"/>
        <v>-- ,</v>
      </c>
    </row>
    <row r="312" spans="12:13">
      <c r="L312" s="24"/>
      <c r="M312" s="24" t="str">
        <f t="shared" si="8"/>
        <v>-- ,</v>
      </c>
    </row>
    <row r="313" spans="12:13">
      <c r="L313" s="24"/>
      <c r="M313" s="24" t="str">
        <f t="shared" si="8"/>
        <v>-- ,</v>
      </c>
    </row>
    <row r="314" spans="12:13">
      <c r="L314" s="24"/>
      <c r="M314" s="24" t="str">
        <f t="shared" si="8"/>
        <v>-- ,</v>
      </c>
    </row>
    <row r="315" spans="12:13">
      <c r="L315" s="24"/>
      <c r="M315" s="24" t="str">
        <f t="shared" si="8"/>
        <v>-- ,</v>
      </c>
    </row>
    <row r="316" spans="12:13">
      <c r="L316" s="24"/>
      <c r="M316" s="24" t="str">
        <f t="shared" si="8"/>
        <v>-- ,</v>
      </c>
    </row>
    <row r="317" spans="12:13">
      <c r="L317" s="24"/>
      <c r="M317" s="24" t="str">
        <f t="shared" si="8"/>
        <v>-- ,</v>
      </c>
    </row>
    <row r="318" spans="12:13">
      <c r="L318" s="24"/>
      <c r="M318" s="24" t="str">
        <f t="shared" si="8"/>
        <v>-- ,</v>
      </c>
    </row>
    <row r="319" spans="12:13">
      <c r="L319" s="24"/>
      <c r="M319" s="24" t="str">
        <f t="shared" si="8"/>
        <v>-- ,</v>
      </c>
    </row>
    <row r="320" spans="12:13">
      <c r="L320" s="24"/>
      <c r="M320" s="24" t="str">
        <f t="shared" si="8"/>
        <v>-- ,</v>
      </c>
    </row>
    <row r="321" spans="12:13">
      <c r="L321" s="24"/>
      <c r="M321" s="24" t="str">
        <f t="shared" si="8"/>
        <v>-- ,</v>
      </c>
    </row>
    <row r="322" spans="12:13">
      <c r="L322" s="24"/>
      <c r="M322" s="24" t="str">
        <f t="shared" si="8"/>
        <v>-- ,</v>
      </c>
    </row>
    <row r="323" spans="12:13">
      <c r="L323" s="24"/>
      <c r="M323" s="24" t="str">
        <f t="shared" si="8"/>
        <v>-- ,</v>
      </c>
    </row>
    <row r="324" spans="12:13">
      <c r="L324" s="24"/>
      <c r="M324" s="24" t="str">
        <f t="shared" si="8"/>
        <v>-- ,</v>
      </c>
    </row>
    <row r="325" spans="12:13">
      <c r="L325" s="24"/>
      <c r="M325" s="20" t="s">
        <v>652</v>
      </c>
    </row>
    <row r="326" spans="12:13">
      <c r="M326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'진열',                                                          'schema', 'dbo', 'table', 'Display';                  -- 테이블</v>
      </c>
    </row>
    <row r="328" spans="12:13">
      <c r="M328" s="20" t="s">
        <v>653</v>
      </c>
    </row>
    <row r="329" spans="12:13">
      <c r="M329" s="24" t="str">
        <f>IF($D$3="","-- ","")&amp;"EXEC sp_addextendedproperty 'MS_Description', '"&amp;TRIM($D$3)&amp;"', "&amp;REPT(" ",60-LENB(TRIM($D$3)))&amp;" 'schema', 'dbo', 'table', '"&amp;TRIM($C$3)&amp;"';"&amp;
IF(LENB(TRIM($D$3))&lt;21,REPT(" ",20-LENB($D$3)),"")&amp;"  -- 테이블"</f>
        <v>EXEC sp_addextendedproperty 'MS_Description', '진열',                                                          'schema', 'dbo', 'table', 'Display';                  -- 테이블</v>
      </c>
    </row>
    <row r="330" spans="12:13">
      <c r="M330" s="24" t="str">
        <f>IF(TRIM($B214)="","-- "&amp;$A214&amp;",",IF(LEFT($B214,2)="--","-- "&amp;$A214&amp;",","")&amp;"EXEC sp_addextendedproperty 'MS_Description', '"&amp;TRIM($C214)&amp;IF($K214="","","("&amp;$K214&amp;")")&amp;"', "&amp;REPT(" ",60-LENB(TRIM($C214)&amp;IF($K214="","","("&amp;$K214&amp;")")))&amp;" 'schema', 'dbo', N'table', '"&amp;TRIM($C$3)&amp;"', 'column', '"&amp;TRIM($B214)&amp;"';"&amp;REPT(" ",20-LENB(TRIM($B214)))&amp;"-- 컬럼")</f>
        <v>-- ,</v>
      </c>
    </row>
    <row r="331" spans="12:13">
      <c r="M331" s="24" t="str">
        <f t="shared" ref="M331:M394" si="9">IF(TRIM($B215)="","-- "&amp;$A215&amp;",",IF(LEFT($B215,2)="--","-- "&amp;$A215&amp;",","")&amp;"EXEC sp_addextendedproperty 'MS_Description', '"&amp;TRIM($C215)&amp;IF($K215="","","("&amp;$K215&amp;")")&amp;"', "&amp;REPT(" ",60-LENB(TRIM($C215)&amp;IF($K215="","","("&amp;$K215&amp;")")))&amp;" 'schema', 'dbo', N'table', '"&amp;TRIM($C$3)&amp;"', 'column', '"&amp;TRIM($B215)&amp;"';"&amp;REPT(" ",20-LENB(TRIM($B215)))&amp;"-- 컬럼")</f>
        <v>-- ,</v>
      </c>
    </row>
    <row r="332" spans="12:13">
      <c r="M332" s="24" t="str">
        <f t="shared" si="9"/>
        <v>-- ,</v>
      </c>
    </row>
    <row r="333" spans="12:13">
      <c r="M333" s="24" t="str">
        <f t="shared" si="9"/>
        <v>-- ,</v>
      </c>
    </row>
    <row r="334" spans="12:13">
      <c r="M334" s="24" t="str">
        <f t="shared" si="9"/>
        <v>-- ,</v>
      </c>
    </row>
    <row r="335" spans="12:13">
      <c r="M335" s="24" t="str">
        <f t="shared" si="9"/>
        <v>-- ,</v>
      </c>
    </row>
    <row r="336" spans="12:13">
      <c r="M336" s="24" t="str">
        <f t="shared" si="9"/>
        <v>-- ,</v>
      </c>
    </row>
    <row r="337" spans="13:13">
      <c r="M337" s="24" t="str">
        <f t="shared" si="9"/>
        <v>-- ,</v>
      </c>
    </row>
    <row r="338" spans="13:13">
      <c r="M338" s="24" t="str">
        <f t="shared" si="9"/>
        <v>-- ,</v>
      </c>
    </row>
    <row r="339" spans="13:13">
      <c r="M339" s="24" t="str">
        <f t="shared" si="9"/>
        <v>-- ,</v>
      </c>
    </row>
    <row r="340" spans="13:13">
      <c r="M340" s="24" t="str">
        <f t="shared" si="9"/>
        <v>-- ,</v>
      </c>
    </row>
    <row r="341" spans="13:13">
      <c r="M341" s="24" t="str">
        <f t="shared" si="9"/>
        <v>-- ,</v>
      </c>
    </row>
    <row r="342" spans="13:13">
      <c r="M342" s="24" t="str">
        <f t="shared" si="9"/>
        <v>-- ,</v>
      </c>
    </row>
    <row r="343" spans="13:13">
      <c r="M343" s="24" t="str">
        <f t="shared" si="9"/>
        <v>-- ,</v>
      </c>
    </row>
    <row r="344" spans="13:13">
      <c r="M344" s="24" t="str">
        <f t="shared" si="9"/>
        <v>-- ,</v>
      </c>
    </row>
    <row r="345" spans="13:13">
      <c r="M345" s="24" t="str">
        <f t="shared" si="9"/>
        <v>-- ,</v>
      </c>
    </row>
    <row r="346" spans="13:13">
      <c r="M346" s="24" t="str">
        <f t="shared" si="9"/>
        <v>-- ,</v>
      </c>
    </row>
    <row r="347" spans="13:13">
      <c r="M347" s="24" t="str">
        <f t="shared" si="9"/>
        <v>-- ,</v>
      </c>
    </row>
    <row r="348" spans="13:13">
      <c r="M348" s="24" t="str">
        <f t="shared" si="9"/>
        <v>-- ,</v>
      </c>
    </row>
    <row r="349" spans="13:13">
      <c r="M349" s="24" t="str">
        <f t="shared" si="9"/>
        <v>-- ,</v>
      </c>
    </row>
    <row r="350" spans="13:13">
      <c r="M350" s="24" t="str">
        <f t="shared" si="9"/>
        <v>-- ,</v>
      </c>
    </row>
    <row r="351" spans="13:13">
      <c r="M351" s="24" t="str">
        <f t="shared" si="9"/>
        <v>-- ,</v>
      </c>
    </row>
    <row r="352" spans="13:13">
      <c r="M352" s="24" t="str">
        <f t="shared" si="9"/>
        <v>-- ,</v>
      </c>
    </row>
    <row r="353" spans="13:13">
      <c r="M353" s="24" t="str">
        <f t="shared" si="9"/>
        <v>-- ,</v>
      </c>
    </row>
    <row r="354" spans="13:13">
      <c r="M354" s="24" t="str">
        <f t="shared" si="9"/>
        <v>-- ,</v>
      </c>
    </row>
    <row r="355" spans="13:13">
      <c r="M355" s="24" t="str">
        <f t="shared" si="9"/>
        <v>-- ,</v>
      </c>
    </row>
    <row r="356" spans="13:13">
      <c r="M356" s="24" t="str">
        <f t="shared" si="9"/>
        <v>-- ,</v>
      </c>
    </row>
    <row r="357" spans="13:13">
      <c r="M357" s="24" t="str">
        <f t="shared" si="9"/>
        <v>-- ,</v>
      </c>
    </row>
    <row r="358" spans="13:13">
      <c r="M358" s="24" t="str">
        <f t="shared" si="9"/>
        <v>-- ,</v>
      </c>
    </row>
    <row r="359" spans="13:13">
      <c r="M359" s="24" t="str">
        <f t="shared" si="9"/>
        <v>-- ,</v>
      </c>
    </row>
    <row r="360" spans="13:13">
      <c r="M360" s="24" t="str">
        <f t="shared" si="9"/>
        <v>-- ,</v>
      </c>
    </row>
    <row r="361" spans="13:13">
      <c r="M361" s="24" t="str">
        <f t="shared" si="9"/>
        <v>-- ,</v>
      </c>
    </row>
    <row r="362" spans="13:13">
      <c r="M362" s="24" t="str">
        <f t="shared" si="9"/>
        <v>-- ,</v>
      </c>
    </row>
    <row r="363" spans="13:13">
      <c r="M363" s="24" t="str">
        <f t="shared" si="9"/>
        <v>-- ,</v>
      </c>
    </row>
    <row r="364" spans="13:13">
      <c r="M364" s="24" t="str">
        <f t="shared" si="9"/>
        <v>-- ,</v>
      </c>
    </row>
    <row r="365" spans="13:13">
      <c r="M365" s="24" t="str">
        <f t="shared" si="9"/>
        <v>-- ,</v>
      </c>
    </row>
    <row r="366" spans="13:13">
      <c r="M366" s="24" t="str">
        <f t="shared" si="9"/>
        <v>-- ,</v>
      </c>
    </row>
    <row r="367" spans="13:13">
      <c r="M367" s="24" t="str">
        <f t="shared" si="9"/>
        <v>-- ,</v>
      </c>
    </row>
    <row r="368" spans="13:13">
      <c r="M368" s="24" t="str">
        <f t="shared" si="9"/>
        <v>-- ,</v>
      </c>
    </row>
    <row r="369" spans="13:13">
      <c r="M369" s="24" t="str">
        <f t="shared" si="9"/>
        <v>-- ,</v>
      </c>
    </row>
    <row r="370" spans="13:13">
      <c r="M370" s="24" t="str">
        <f t="shared" si="9"/>
        <v>-- ,</v>
      </c>
    </row>
    <row r="371" spans="13:13">
      <c r="M371" s="24" t="str">
        <f t="shared" si="9"/>
        <v>-- ,</v>
      </c>
    </row>
    <row r="372" spans="13:13">
      <c r="M372" s="24" t="str">
        <f t="shared" si="9"/>
        <v>-- ,</v>
      </c>
    </row>
    <row r="373" spans="13:13">
      <c r="M373" s="24" t="str">
        <f t="shared" si="9"/>
        <v>-- ,</v>
      </c>
    </row>
    <row r="374" spans="13:13">
      <c r="M374" s="24" t="str">
        <f t="shared" si="9"/>
        <v>-- ,</v>
      </c>
    </row>
    <row r="375" spans="13:13">
      <c r="M375" s="24" t="str">
        <f t="shared" si="9"/>
        <v>-- ,</v>
      </c>
    </row>
    <row r="376" spans="13:13">
      <c r="M376" s="24" t="str">
        <f t="shared" si="9"/>
        <v>-- ,</v>
      </c>
    </row>
    <row r="377" spans="13:13">
      <c r="M377" s="24" t="str">
        <f t="shared" si="9"/>
        <v>-- ,</v>
      </c>
    </row>
    <row r="378" spans="13:13">
      <c r="M378" s="24" t="str">
        <f t="shared" si="9"/>
        <v>-- ,</v>
      </c>
    </row>
    <row r="379" spans="13:13">
      <c r="M379" s="24" t="str">
        <f t="shared" si="9"/>
        <v>-- ,</v>
      </c>
    </row>
    <row r="380" spans="13:13">
      <c r="M380" s="24" t="str">
        <f t="shared" si="9"/>
        <v>-- ,</v>
      </c>
    </row>
    <row r="381" spans="13:13">
      <c r="M381" s="24" t="str">
        <f t="shared" si="9"/>
        <v>-- ,</v>
      </c>
    </row>
    <row r="382" spans="13:13">
      <c r="M382" s="24" t="str">
        <f t="shared" si="9"/>
        <v>-- ,</v>
      </c>
    </row>
    <row r="383" spans="13:13">
      <c r="M383" s="24" t="str">
        <f t="shared" si="9"/>
        <v>-- ,</v>
      </c>
    </row>
    <row r="384" spans="13:13">
      <c r="M384" s="24" t="str">
        <f t="shared" si="9"/>
        <v>-- ,</v>
      </c>
    </row>
    <row r="385" spans="13:13">
      <c r="M385" s="24" t="str">
        <f t="shared" si="9"/>
        <v>-- ,</v>
      </c>
    </row>
    <row r="386" spans="13:13">
      <c r="M386" s="24" t="str">
        <f t="shared" si="9"/>
        <v>-- ,</v>
      </c>
    </row>
    <row r="387" spans="13:13">
      <c r="M387" s="24" t="str">
        <f t="shared" si="9"/>
        <v>-- ,</v>
      </c>
    </row>
    <row r="388" spans="13:13">
      <c r="M388" s="24" t="str">
        <f t="shared" si="9"/>
        <v>-- ,</v>
      </c>
    </row>
    <row r="389" spans="13:13">
      <c r="M389" s="24" t="str">
        <f t="shared" si="9"/>
        <v>-- ,</v>
      </c>
    </row>
    <row r="390" spans="13:13">
      <c r="M390" s="24" t="str">
        <f t="shared" si="9"/>
        <v>-- ,</v>
      </c>
    </row>
    <row r="391" spans="13:13">
      <c r="M391" s="24" t="str">
        <f t="shared" si="9"/>
        <v>-- ,</v>
      </c>
    </row>
    <row r="392" spans="13:13">
      <c r="M392" s="24" t="str">
        <f t="shared" si="9"/>
        <v>-- ,</v>
      </c>
    </row>
    <row r="393" spans="13:13">
      <c r="M393" s="24" t="str">
        <f t="shared" si="9"/>
        <v>-- ,</v>
      </c>
    </row>
    <row r="394" spans="13:13">
      <c r="M394" s="24" t="str">
        <f t="shared" si="9"/>
        <v>-- ,</v>
      </c>
    </row>
    <row r="395" spans="13:13">
      <c r="M395" s="24" t="str">
        <f t="shared" ref="M395:M429" si="10">IF(TRIM($B279)="","-- "&amp;$A279&amp;",",IF(LEFT($B279,2)="--","-- "&amp;$A279&amp;",","")&amp;"EXEC sp_addextendedproperty 'MS_Description', '"&amp;TRIM($C279)&amp;IF($K279="","","("&amp;$K279&amp;")")&amp;"', "&amp;REPT(" ",60-LENB(TRIM($C279)&amp;IF($K279="","","("&amp;$K279&amp;")")))&amp;" 'schema', 'dbo', N'table', '"&amp;TRIM($C$3)&amp;"', 'column', '"&amp;TRIM($B279)&amp;"';"&amp;REPT(" ",20-LENB(TRIM($B279)))&amp;"-- 컬럼")</f>
        <v>-- ,</v>
      </c>
    </row>
    <row r="396" spans="13:13">
      <c r="M396" s="24" t="str">
        <f t="shared" si="10"/>
        <v>-- ,</v>
      </c>
    </row>
    <row r="397" spans="13:13">
      <c r="M397" s="24" t="str">
        <f t="shared" si="10"/>
        <v>-- ,</v>
      </c>
    </row>
    <row r="398" spans="13:13">
      <c r="M398" s="24" t="str">
        <f t="shared" si="10"/>
        <v>-- ,</v>
      </c>
    </row>
    <row r="399" spans="13:13">
      <c r="M399" s="24" t="str">
        <f t="shared" si="10"/>
        <v>-- ,</v>
      </c>
    </row>
    <row r="400" spans="13:13">
      <c r="M400" s="24" t="str">
        <f t="shared" si="10"/>
        <v>-- ,</v>
      </c>
    </row>
    <row r="401" spans="13:13">
      <c r="M401" s="24" t="str">
        <f t="shared" si="10"/>
        <v>-- ,</v>
      </c>
    </row>
    <row r="402" spans="13:13">
      <c r="M402" s="24" t="str">
        <f t="shared" si="10"/>
        <v>-- ,</v>
      </c>
    </row>
    <row r="403" spans="13:13">
      <c r="M403" s="24" t="str">
        <f t="shared" si="10"/>
        <v>-- ,</v>
      </c>
    </row>
    <row r="404" spans="13:13">
      <c r="M404" s="24" t="str">
        <f t="shared" si="10"/>
        <v>-- ,</v>
      </c>
    </row>
    <row r="405" spans="13:13">
      <c r="M405" s="24" t="str">
        <f t="shared" si="10"/>
        <v>-- ,</v>
      </c>
    </row>
    <row r="406" spans="13:13">
      <c r="M406" s="24" t="str">
        <f t="shared" si="10"/>
        <v>-- ,</v>
      </c>
    </row>
    <row r="407" spans="13:13">
      <c r="M407" s="24" t="str">
        <f t="shared" si="10"/>
        <v>-- ,</v>
      </c>
    </row>
    <row r="408" spans="13:13">
      <c r="M408" s="24" t="str">
        <f t="shared" si="10"/>
        <v>-- ,</v>
      </c>
    </row>
    <row r="409" spans="13:13">
      <c r="M409" s="24" t="str">
        <f t="shared" si="10"/>
        <v>-- ,</v>
      </c>
    </row>
    <row r="410" spans="13:13">
      <c r="M410" s="24" t="str">
        <f t="shared" si="10"/>
        <v>-- ,</v>
      </c>
    </row>
    <row r="411" spans="13:13">
      <c r="M411" s="24" t="str">
        <f t="shared" si="10"/>
        <v>-- ,</v>
      </c>
    </row>
    <row r="412" spans="13:13">
      <c r="M412" s="24" t="str">
        <f t="shared" si="10"/>
        <v>-- ,</v>
      </c>
    </row>
    <row r="413" spans="13:13">
      <c r="M413" s="24" t="str">
        <f t="shared" si="10"/>
        <v>-- ,</v>
      </c>
    </row>
    <row r="414" spans="13:13">
      <c r="M414" s="24" t="str">
        <f t="shared" si="10"/>
        <v>-- ,</v>
      </c>
    </row>
    <row r="415" spans="13:13">
      <c r="M415" s="24" t="str">
        <f t="shared" si="10"/>
        <v>-- ,</v>
      </c>
    </row>
    <row r="416" spans="13:13">
      <c r="M416" s="24" t="str">
        <f t="shared" si="10"/>
        <v>-- ,</v>
      </c>
    </row>
    <row r="417" spans="13:13">
      <c r="M417" s="24" t="str">
        <f t="shared" si="10"/>
        <v>-- ,</v>
      </c>
    </row>
    <row r="418" spans="13:13">
      <c r="M418" s="24" t="str">
        <f t="shared" si="10"/>
        <v>-- ,</v>
      </c>
    </row>
    <row r="419" spans="13:13">
      <c r="M419" s="24" t="str">
        <f t="shared" si="10"/>
        <v>-- ,</v>
      </c>
    </row>
    <row r="420" spans="13:13">
      <c r="M420" s="24" t="str">
        <f t="shared" si="10"/>
        <v>-- ,</v>
      </c>
    </row>
    <row r="421" spans="13:13">
      <c r="M421" s="24" t="str">
        <f t="shared" si="10"/>
        <v>-- ,</v>
      </c>
    </row>
    <row r="422" spans="13:13">
      <c r="M422" s="24" t="str">
        <f t="shared" si="10"/>
        <v>-- ,</v>
      </c>
    </row>
    <row r="423" spans="13:13">
      <c r="M423" s="24" t="str">
        <f t="shared" si="10"/>
        <v>-- ,</v>
      </c>
    </row>
    <row r="424" spans="13:13">
      <c r="M424" s="24" t="str">
        <f t="shared" si="10"/>
        <v>-- ,</v>
      </c>
    </row>
    <row r="425" spans="13:13">
      <c r="M425" s="24" t="str">
        <f t="shared" si="10"/>
        <v>-- ,</v>
      </c>
    </row>
    <row r="426" spans="13:13">
      <c r="M426" s="24" t="str">
        <f t="shared" si="10"/>
        <v>-- ,</v>
      </c>
    </row>
    <row r="427" spans="13:13">
      <c r="M427" s="24" t="str">
        <f t="shared" si="10"/>
        <v>-- ,</v>
      </c>
    </row>
    <row r="428" spans="13:13">
      <c r="M428" s="24" t="str">
        <f t="shared" si="10"/>
        <v>-- ,</v>
      </c>
    </row>
    <row r="429" spans="13:13">
      <c r="M429" s="24" t="str">
        <f t="shared" si="10"/>
        <v>-- ,</v>
      </c>
    </row>
    <row r="430" spans="13:13">
      <c r="M430" s="20" t="s">
        <v>654</v>
      </c>
    </row>
    <row r="431" spans="13:13">
      <c r="M431" s="24" t="str">
        <f>IF(TRIM($B315)="","-- "&amp;$A315&amp;",",IF(LEFT($B315,2)="--","-- "&amp;$A315&amp;",","")&amp;"EXEC sp_addextendedproperty 'MS_Description', '"&amp;TRIM($C315)&amp;IF($K315="","","("&amp;$K315&amp;")")&amp;"', "&amp;REPT(" ",60-LENB(TRIM($C315)&amp;IF($K315="","","("&amp;$K315&amp;")")))&amp;" 'schema', 'dbo', N'table', '"&amp;TRIM($C$3)&amp;"', 'column', '"&amp;TRIM($B315)&amp;"';"&amp;REPT(" ",20-LENB(TRIM($B315)))&amp;"-- 컬럼")</f>
        <v>-- ,</v>
      </c>
    </row>
    <row r="432" spans="13:13">
      <c r="M432" s="24" t="str">
        <f t="shared" ref="M432:M495" si="11">IF(TRIM($B316)="","-- "&amp;$A316&amp;",",IF(LEFT($B316,2)="--","-- "&amp;$A316&amp;",","")&amp;"EXEC sp_addextendedproperty 'MS_Description', '"&amp;TRIM($C316)&amp;IF($K316="","","("&amp;$K316&amp;")")&amp;"', "&amp;REPT(" ",60-LENB(TRIM($C316)&amp;IF($K316="","","("&amp;$K316&amp;")")))&amp;" 'schema', 'dbo', N'table', '"&amp;TRIM($C$3)&amp;"', 'column', '"&amp;TRIM($B316)&amp;"';"&amp;REPT(" ",20-LENB(TRIM($B316)))&amp;"-- 컬럼")</f>
        <v>-- ,</v>
      </c>
    </row>
    <row r="433" spans="13:13">
      <c r="M433" s="24" t="str">
        <f t="shared" si="11"/>
        <v>-- ,</v>
      </c>
    </row>
    <row r="434" spans="13:13">
      <c r="M434" s="24" t="str">
        <f t="shared" si="11"/>
        <v>-- ,</v>
      </c>
    </row>
    <row r="435" spans="13:13">
      <c r="M435" s="24" t="str">
        <f t="shared" si="11"/>
        <v>-- ,</v>
      </c>
    </row>
    <row r="436" spans="13:13">
      <c r="M436" s="24" t="str">
        <f t="shared" si="11"/>
        <v>-- ,</v>
      </c>
    </row>
    <row r="437" spans="13:13">
      <c r="M437" s="24" t="str">
        <f t="shared" si="11"/>
        <v>-- ,</v>
      </c>
    </row>
    <row r="438" spans="13:13">
      <c r="M438" s="24" t="str">
        <f t="shared" si="11"/>
        <v>-- ,</v>
      </c>
    </row>
    <row r="439" spans="13:13">
      <c r="M439" s="24" t="str">
        <f t="shared" si="11"/>
        <v>-- ,</v>
      </c>
    </row>
    <row r="440" spans="13:13">
      <c r="M440" s="24" t="str">
        <f t="shared" si="11"/>
        <v>-- ,</v>
      </c>
    </row>
    <row r="441" spans="13:13">
      <c r="M441" s="24" t="str">
        <f t="shared" si="11"/>
        <v>-- ,</v>
      </c>
    </row>
    <row r="442" spans="13:13">
      <c r="M442" s="24" t="str">
        <f t="shared" si="11"/>
        <v>-- ,</v>
      </c>
    </row>
    <row r="443" spans="13:13">
      <c r="M443" s="24" t="str">
        <f t="shared" si="11"/>
        <v>-- ,</v>
      </c>
    </row>
    <row r="444" spans="13:13">
      <c r="M444" s="24" t="str">
        <f t="shared" si="11"/>
        <v>-- ,</v>
      </c>
    </row>
    <row r="445" spans="13:13">
      <c r="M445" s="24" t="str">
        <f t="shared" si="11"/>
        <v>-- ,</v>
      </c>
    </row>
    <row r="446" spans="13:13">
      <c r="M446" s="24" t="str">
        <f t="shared" si="11"/>
        <v>-- ,</v>
      </c>
    </row>
    <row r="447" spans="13:13">
      <c r="M447" s="24" t="str">
        <f t="shared" si="11"/>
        <v>-- ,</v>
      </c>
    </row>
    <row r="448" spans="13:13">
      <c r="M448" s="24" t="str">
        <f t="shared" si="11"/>
        <v>-- ,</v>
      </c>
    </row>
    <row r="449" spans="13:13">
      <c r="M449" s="24" t="str">
        <f t="shared" si="11"/>
        <v>-- ,</v>
      </c>
    </row>
    <row r="450" spans="13:13">
      <c r="M450" s="24" t="str">
        <f t="shared" si="11"/>
        <v>-- ,</v>
      </c>
    </row>
    <row r="451" spans="13:13">
      <c r="M451" s="24" t="str">
        <f t="shared" si="11"/>
        <v>-- ,</v>
      </c>
    </row>
    <row r="452" spans="13:13">
      <c r="M452" s="24" t="str">
        <f t="shared" si="11"/>
        <v>-- ,</v>
      </c>
    </row>
    <row r="453" spans="13:13">
      <c r="M453" s="24" t="str">
        <f t="shared" si="11"/>
        <v>-- ,</v>
      </c>
    </row>
    <row r="454" spans="13:13">
      <c r="M454" s="24" t="str">
        <f t="shared" si="11"/>
        <v>-- ,</v>
      </c>
    </row>
    <row r="455" spans="13:13">
      <c r="M455" s="24" t="str">
        <f t="shared" si="11"/>
        <v>-- ,</v>
      </c>
    </row>
    <row r="456" spans="13:13">
      <c r="M456" s="24" t="str">
        <f t="shared" si="11"/>
        <v>-- ,</v>
      </c>
    </row>
    <row r="457" spans="13:13">
      <c r="M457" s="24" t="str">
        <f t="shared" si="11"/>
        <v>-- ,</v>
      </c>
    </row>
    <row r="458" spans="13:13">
      <c r="M458" s="24" t="str">
        <f t="shared" si="11"/>
        <v>-- ,</v>
      </c>
    </row>
    <row r="459" spans="13:13">
      <c r="M459" s="24" t="str">
        <f t="shared" si="11"/>
        <v>-- ,</v>
      </c>
    </row>
    <row r="460" spans="13:13">
      <c r="M460" s="24" t="str">
        <f t="shared" si="11"/>
        <v>-- ,</v>
      </c>
    </row>
    <row r="461" spans="13:13">
      <c r="M461" s="24" t="str">
        <f t="shared" si="11"/>
        <v>-- ,</v>
      </c>
    </row>
    <row r="462" spans="13:13">
      <c r="M462" s="24" t="str">
        <f t="shared" si="11"/>
        <v>-- ,</v>
      </c>
    </row>
    <row r="463" spans="13:13">
      <c r="M463" s="24" t="str">
        <f t="shared" si="11"/>
        <v>-- ,</v>
      </c>
    </row>
    <row r="464" spans="13:13">
      <c r="M464" s="24" t="str">
        <f t="shared" si="11"/>
        <v>-- ,</v>
      </c>
    </row>
    <row r="465" spans="13:13">
      <c r="M465" s="24" t="str">
        <f t="shared" si="11"/>
        <v>-- ,</v>
      </c>
    </row>
    <row r="466" spans="13:13">
      <c r="M466" s="24" t="str">
        <f t="shared" si="11"/>
        <v>-- ,</v>
      </c>
    </row>
    <row r="467" spans="13:13">
      <c r="M467" s="24" t="str">
        <f t="shared" si="11"/>
        <v>-- ,</v>
      </c>
    </row>
    <row r="468" spans="13:13">
      <c r="M468" s="24" t="str">
        <f t="shared" si="11"/>
        <v>-- ,</v>
      </c>
    </row>
    <row r="469" spans="13:13">
      <c r="M469" s="24" t="str">
        <f t="shared" si="11"/>
        <v>-- ,</v>
      </c>
    </row>
    <row r="470" spans="13:13">
      <c r="M470" s="24" t="str">
        <f t="shared" si="11"/>
        <v>-- ,</v>
      </c>
    </row>
    <row r="471" spans="13:13">
      <c r="M471" s="24" t="str">
        <f t="shared" si="11"/>
        <v>-- ,</v>
      </c>
    </row>
    <row r="472" spans="13:13">
      <c r="M472" s="24" t="str">
        <f t="shared" si="11"/>
        <v>-- ,</v>
      </c>
    </row>
    <row r="473" spans="13:13">
      <c r="M473" s="24" t="str">
        <f t="shared" si="11"/>
        <v>-- ,</v>
      </c>
    </row>
    <row r="474" spans="13:13">
      <c r="M474" s="24" t="str">
        <f t="shared" si="11"/>
        <v>-- ,</v>
      </c>
    </row>
    <row r="475" spans="13:13">
      <c r="M475" s="24" t="str">
        <f t="shared" si="11"/>
        <v>-- ,</v>
      </c>
    </row>
    <row r="476" spans="13:13">
      <c r="M476" s="24" t="str">
        <f t="shared" si="11"/>
        <v>-- ,</v>
      </c>
    </row>
    <row r="477" spans="13:13">
      <c r="M477" s="24" t="str">
        <f t="shared" si="11"/>
        <v>-- ,</v>
      </c>
    </row>
    <row r="478" spans="13:13">
      <c r="M478" s="24" t="str">
        <f t="shared" si="11"/>
        <v>-- ,</v>
      </c>
    </row>
    <row r="479" spans="13:13">
      <c r="M479" s="24" t="str">
        <f t="shared" si="11"/>
        <v>-- ,</v>
      </c>
    </row>
    <row r="480" spans="13:13">
      <c r="M480" s="24" t="str">
        <f t="shared" si="11"/>
        <v>-- ,</v>
      </c>
    </row>
    <row r="481" spans="13:13">
      <c r="M481" s="24" t="str">
        <f t="shared" si="11"/>
        <v>-- ,</v>
      </c>
    </row>
    <row r="482" spans="13:13">
      <c r="M482" s="24" t="str">
        <f t="shared" si="11"/>
        <v>-- ,</v>
      </c>
    </row>
    <row r="483" spans="13:13">
      <c r="M483" s="24" t="str">
        <f t="shared" si="11"/>
        <v>-- ,</v>
      </c>
    </row>
    <row r="484" spans="13:13">
      <c r="M484" s="24" t="str">
        <f t="shared" si="11"/>
        <v>-- ,</v>
      </c>
    </row>
    <row r="485" spans="13:13">
      <c r="M485" s="24" t="str">
        <f t="shared" si="11"/>
        <v>-- ,</v>
      </c>
    </row>
    <row r="486" spans="13:13">
      <c r="M486" s="24" t="str">
        <f t="shared" si="11"/>
        <v>-- ,</v>
      </c>
    </row>
    <row r="487" spans="13:13">
      <c r="M487" s="24" t="str">
        <f t="shared" si="11"/>
        <v>-- ,</v>
      </c>
    </row>
    <row r="488" spans="13:13">
      <c r="M488" s="24" t="str">
        <f t="shared" si="11"/>
        <v>-- ,</v>
      </c>
    </row>
    <row r="489" spans="13:13">
      <c r="M489" s="24" t="str">
        <f t="shared" si="11"/>
        <v>-- ,</v>
      </c>
    </row>
    <row r="490" spans="13:13">
      <c r="M490" s="24" t="str">
        <f t="shared" si="11"/>
        <v>-- ,</v>
      </c>
    </row>
    <row r="491" spans="13:13">
      <c r="M491" s="24" t="str">
        <f t="shared" si="11"/>
        <v>-- ,</v>
      </c>
    </row>
    <row r="492" spans="13:13">
      <c r="M492" s="24" t="str">
        <f t="shared" si="11"/>
        <v>-- ,</v>
      </c>
    </row>
    <row r="493" spans="13:13">
      <c r="M493" s="24" t="str">
        <f t="shared" si="11"/>
        <v>-- ,</v>
      </c>
    </row>
    <row r="494" spans="13:13">
      <c r="M494" s="24" t="str">
        <f t="shared" si="11"/>
        <v>-- ,</v>
      </c>
    </row>
    <row r="495" spans="13:13">
      <c r="M495" s="24" t="str">
        <f t="shared" si="11"/>
        <v>-- ,</v>
      </c>
    </row>
    <row r="496" spans="13:13">
      <c r="M496" s="24" t="str">
        <f t="shared" ref="M496:M530" si="12">IF(TRIM($B380)="","-- "&amp;$A380&amp;",",IF(LEFT($B380,2)="--","-- "&amp;$A380&amp;",","")&amp;"EXEC sp_addextendedproperty 'MS_Description', '"&amp;TRIM($C380)&amp;IF($K380="","","("&amp;$K380&amp;")")&amp;"', "&amp;REPT(" ",60-LENB(TRIM($C380)&amp;IF($K380="","","("&amp;$K380&amp;")")))&amp;" 'schema', 'dbo', N'table', '"&amp;TRIM($C$3)&amp;"', 'column', '"&amp;TRIM($B380)&amp;"';"&amp;REPT(" ",20-LENB(TRIM($B380)))&amp;"-- 컬럼")</f>
        <v>-- ,</v>
      </c>
    </row>
    <row r="497" spans="13:13">
      <c r="M497" s="24" t="str">
        <f t="shared" si="12"/>
        <v>-- ,</v>
      </c>
    </row>
    <row r="498" spans="13:13">
      <c r="M498" s="24" t="str">
        <f t="shared" si="12"/>
        <v>-- ,</v>
      </c>
    </row>
    <row r="499" spans="13:13">
      <c r="M499" s="24" t="str">
        <f t="shared" si="12"/>
        <v>-- ,</v>
      </c>
    </row>
    <row r="500" spans="13:13">
      <c r="M500" s="24" t="str">
        <f t="shared" si="12"/>
        <v>-- ,</v>
      </c>
    </row>
    <row r="501" spans="13:13">
      <c r="M501" s="24" t="str">
        <f t="shared" si="12"/>
        <v>-- ,</v>
      </c>
    </row>
    <row r="502" spans="13:13">
      <c r="M502" s="24" t="str">
        <f t="shared" si="12"/>
        <v>-- ,</v>
      </c>
    </row>
    <row r="503" spans="13:13">
      <c r="M503" s="24" t="str">
        <f t="shared" si="12"/>
        <v>-- ,</v>
      </c>
    </row>
    <row r="504" spans="13:13">
      <c r="M504" s="24" t="str">
        <f t="shared" si="12"/>
        <v>-- ,</v>
      </c>
    </row>
    <row r="505" spans="13:13">
      <c r="M505" s="24" t="str">
        <f t="shared" si="12"/>
        <v>-- ,</v>
      </c>
    </row>
    <row r="506" spans="13:13">
      <c r="M506" s="24" t="str">
        <f t="shared" si="12"/>
        <v>-- ,</v>
      </c>
    </row>
    <row r="507" spans="13:13">
      <c r="M507" s="24" t="str">
        <f t="shared" si="12"/>
        <v>-- ,</v>
      </c>
    </row>
    <row r="508" spans="13:13">
      <c r="M508" s="24" t="str">
        <f t="shared" si="12"/>
        <v>-- ,</v>
      </c>
    </row>
    <row r="509" spans="13:13">
      <c r="M509" s="24" t="str">
        <f t="shared" si="12"/>
        <v>-- ,</v>
      </c>
    </row>
    <row r="510" spans="13:13">
      <c r="M510" s="24" t="str">
        <f t="shared" si="12"/>
        <v>-- ,</v>
      </c>
    </row>
    <row r="511" spans="13:13">
      <c r="M511" s="24" t="str">
        <f t="shared" si="12"/>
        <v>-- ,</v>
      </c>
    </row>
    <row r="512" spans="13:13">
      <c r="M512" s="24" t="str">
        <f t="shared" si="12"/>
        <v>-- ,</v>
      </c>
    </row>
    <row r="513" spans="13:13">
      <c r="M513" s="24" t="str">
        <f t="shared" si="12"/>
        <v>-- ,</v>
      </c>
    </row>
    <row r="514" spans="13:13">
      <c r="M514" s="24" t="str">
        <f t="shared" si="12"/>
        <v>-- ,</v>
      </c>
    </row>
    <row r="515" spans="13:13">
      <c r="M515" s="24" t="str">
        <f t="shared" si="12"/>
        <v>-- ,</v>
      </c>
    </row>
    <row r="516" spans="13:13">
      <c r="M516" s="24" t="str">
        <f t="shared" si="12"/>
        <v>-- ,</v>
      </c>
    </row>
    <row r="517" spans="13:13">
      <c r="M517" s="24" t="str">
        <f t="shared" si="12"/>
        <v>-- ,</v>
      </c>
    </row>
    <row r="518" spans="13:13">
      <c r="M518" s="24" t="str">
        <f t="shared" si="12"/>
        <v>-- ,</v>
      </c>
    </row>
    <row r="519" spans="13:13">
      <c r="M519" s="24" t="str">
        <f t="shared" si="12"/>
        <v>-- ,</v>
      </c>
    </row>
    <row r="520" spans="13:13">
      <c r="M520" s="24" t="str">
        <f t="shared" si="12"/>
        <v>-- ,</v>
      </c>
    </row>
    <row r="521" spans="13:13">
      <c r="M521" s="24" t="str">
        <f t="shared" si="12"/>
        <v>-- ,</v>
      </c>
    </row>
    <row r="522" spans="13:13">
      <c r="M522" s="24" t="str">
        <f t="shared" si="12"/>
        <v>-- ,</v>
      </c>
    </row>
    <row r="523" spans="13:13">
      <c r="M523" s="24" t="str">
        <f t="shared" si="12"/>
        <v>-- ,</v>
      </c>
    </row>
    <row r="524" spans="13:13">
      <c r="M524" s="24" t="str">
        <f t="shared" si="12"/>
        <v>-- ,</v>
      </c>
    </row>
    <row r="525" spans="13:13">
      <c r="M525" s="24" t="str">
        <f t="shared" si="12"/>
        <v>-- ,</v>
      </c>
    </row>
    <row r="526" spans="13:13">
      <c r="M526" s="24" t="str">
        <f t="shared" si="12"/>
        <v>-- ,</v>
      </c>
    </row>
    <row r="527" spans="13:13">
      <c r="M527" s="24" t="str">
        <f t="shared" si="12"/>
        <v>-- ,</v>
      </c>
    </row>
    <row r="528" spans="13:13">
      <c r="M528" s="24" t="str">
        <f t="shared" si="12"/>
        <v>-- ,</v>
      </c>
    </row>
    <row r="529" spans="13:13">
      <c r="M529" s="24" t="str">
        <f t="shared" si="12"/>
        <v>-- ,</v>
      </c>
    </row>
    <row r="530" spans="13:13">
      <c r="M530" s="24" t="str">
        <f t="shared" si="12"/>
        <v>-- ,</v>
      </c>
    </row>
    <row r="531" spans="13:13">
      <c r="M531" s="20" t="s">
        <v>655</v>
      </c>
    </row>
    <row r="533" spans="13:13">
      <c r="M533" s="20" t="s">
        <v>656</v>
      </c>
    </row>
  </sheetData>
  <mergeCells count="12">
    <mergeCell ref="A4:B4"/>
    <mergeCell ref="C4:K4"/>
    <mergeCell ref="A5:B5"/>
    <mergeCell ref="D5:E5"/>
    <mergeCell ref="F5:G5"/>
    <mergeCell ref="A1:K1"/>
    <mergeCell ref="A2:B2"/>
    <mergeCell ref="C2:F2"/>
    <mergeCell ref="H2:I2"/>
    <mergeCell ref="A3:B3"/>
    <mergeCell ref="D3:F3"/>
    <mergeCell ref="H3:I3"/>
  </mergeCells>
  <phoneticPr fontId="6" type="noConversion"/>
  <pageMargins left="0.39370078740157483" right="0.39370078740157483" top="0.78740157480314965" bottom="0.39370078740157483" header="0" footer="0"/>
  <pageSetup paperSize="9" scale="9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10</vt:i4>
      </vt:variant>
    </vt:vector>
  </HeadingPairs>
  <TitlesOfParts>
    <vt:vector size="24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상점</vt:lpstr>
      <vt:lpstr>판매지역</vt:lpstr>
      <vt:lpstr>상품</vt:lpstr>
      <vt:lpstr>이력</vt:lpstr>
      <vt:lpstr>화면</vt:lpstr>
      <vt:lpstr>진열장</vt:lpstr>
      <vt:lpstr>진열</vt:lpstr>
      <vt:lpstr>상점!Print_Area</vt:lpstr>
      <vt:lpstr>상품!Print_Area</vt:lpstr>
      <vt:lpstr>시퀀스목록!Print_Area</vt:lpstr>
      <vt:lpstr>이력!Print_Area</vt:lpstr>
      <vt:lpstr>인덱스목록!Print_Area</vt:lpstr>
      <vt:lpstr>진열!Print_Area</vt:lpstr>
      <vt:lpstr>진열장!Print_Area</vt:lpstr>
      <vt:lpstr>테이블목록!Print_Area</vt:lpstr>
      <vt:lpstr>판매지역!Print_Area</vt:lpstr>
      <vt:lpstr>화면!Print_Area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2013-06-18T07:42:29Z</cp:lastPrinted>
  <dcterms:created xsi:type="dcterms:W3CDTF">2008-05-19T00:49:05Z</dcterms:created>
  <dcterms:modified xsi:type="dcterms:W3CDTF">2018-09-19T12:12:55Z</dcterms:modified>
</cp:coreProperties>
</file>